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isf\OneDrive\Desktop\automacao_livro_diario\"/>
    </mc:Choice>
  </mc:AlternateContent>
  <bookViews>
    <workbookView xWindow="0" yWindow="0" windowWidth="9660" windowHeight="5496"/>
  </bookViews>
  <sheets>
    <sheet name="Movimento do Caixa" sheetId="1" r:id="rId1"/>
    <sheet name="Plan1" sheetId="2" r:id="rId2"/>
  </sheets>
  <calcPr calcId="152511"/>
</workbook>
</file>

<file path=xl/calcChain.xml><?xml version="1.0" encoding="utf-8"?>
<calcChain xmlns="http://schemas.openxmlformats.org/spreadsheetml/2006/main">
  <c r="D78" i="2" l="1"/>
</calcChain>
</file>

<file path=xl/sharedStrings.xml><?xml version="1.0" encoding="utf-8"?>
<sst xmlns="http://schemas.openxmlformats.org/spreadsheetml/2006/main" count="193" uniqueCount="173">
  <si>
    <t>AILMA CHALEGRE DE LIRA VILA NOVA</t>
  </si>
  <si>
    <t>Empresa:</t>
  </si>
  <si>
    <t>Folha:</t>
  </si>
  <si>
    <t>C.P.F.:</t>
  </si>
  <si>
    <t>022.780.714-67</t>
  </si>
  <si>
    <t>01/03/2025</t>
  </si>
  <si>
    <t xml:space="preserve">Período: </t>
  </si>
  <si>
    <t xml:space="preserve"> - </t>
  </si>
  <si>
    <t>31/03/2025</t>
  </si>
  <si>
    <t/>
  </si>
  <si>
    <t>MOVIMENTO DO CAIXA</t>
  </si>
  <si>
    <t xml:space="preserve">Histórico  </t>
  </si>
  <si>
    <t>Entradas</t>
  </si>
  <si>
    <t>Saídas</t>
  </si>
  <si>
    <t>Saldo</t>
  </si>
  <si>
    <t xml:space="preserve">Data </t>
  </si>
  <si>
    <t>Saldo Anterior</t>
  </si>
  <si>
    <t xml:space="preserve">RECEBEMOS DO TJ-PE REFERENTE A EMOLUMENTOS 
NESTA DATA </t>
  </si>
  <si>
    <t xml:space="preserve">PAGO A MATEUS SUPERMERCADOS S.A. REFERENTE A 
DESPESAS COM MATERIAL DE LIMPEZA, CONFORME 
NFC-e 16945 SERIE 19 E COMPROVANTE PIX
</t>
  </si>
  <si>
    <t>PAGO A THIAGO VILA NOVA AMARO DA REFERENTE A 
DESPESAS COM ENTREGA DE MALOTES E INTIMAÇÕES,
 CONFORME NFS-e 23 E  COMPROVANTE DE 
PAGAMENTO - TARIFA</t>
  </si>
  <si>
    <t>PAGO A THIAGO VILA NOVA AMARO DA REFERENTE A 
DESPESAS COM ENTREGA DE MALOTES E INTIMAÇÕES,
 CONFORME NFS-e 23 E  COMPROVANTE DE 
PAGAMENTO</t>
  </si>
  <si>
    <t>PAGO A VENEZA MATERIAL DE CONSTRUCAO LTDA 
REFERENTE A DESPESAS COM MATERIAL DE 
EXPEDIENTE, CONFORME NFE 173070 E COMPROVANTE
 PIX</t>
  </si>
  <si>
    <t xml:space="preserve">PAGO A ZULEIDE COELHO FARIAS DE OLIVEIRA 
REFERENTE ASSESSORIA JURIDICA CONFORME NF E 
COMPROVANTE DE PAGAMENTO 
</t>
  </si>
  <si>
    <t xml:space="preserve">PAGO A ZULEIDE COELHO FARIAS DE OLIVEIRA 
REFERENTE ASSESSORIA JURIDICA CONFORME NF E 
COMPROVANTE DE PAGAMENTO - TARIFA
</t>
  </si>
  <si>
    <t>PAGO A ADIEL DE SOUZA LIRA REFERENTE A AVISO 
PRÉVIO DE FÉRIAS PERIODO DE GOZO 10/03/2025 A
 29/03/2025 = 20 DIAS, CONFORME RECIBO E 
COMPROVANTE PIX</t>
  </si>
  <si>
    <t>PAGO A PERNAMBUCO INFORMATICA ASSESSORIA 
TECNICA LTDA REFERENTE A DESPESAS COM 
ASSESSORIA TECNICA DE TI, CONFORME DOC.
123769268/NFS-e 0695  E COMPROVANTE DE 
PAGAMENTO DE TITULOS</t>
  </si>
  <si>
    <t>PPAGO A JEREMIAS N NAZARIO REFERENTE A 
PRESTAÇÃO DE SERVIÇOS NA PARTE ELETRICA - 
CONFORME NF 42 E COMPROVANTE DE PAGTO NO PIX 
CONFORME  42 MPROVANTE PIX - TARIFA PIX</t>
  </si>
  <si>
    <t>PAGO A ADIEL DE SOUZA LIRA REFERENTE A AVISO 
PRÉVIO DE FÉRIAS PERIODO DE GOZO 10/03/2025 A
 29/03/2025 = 20 DIAS, CONFORME RECIBO E 
COMPROVANTE PIX - TARIFA</t>
  </si>
  <si>
    <t xml:space="preserve">PAGO A VFS SISTEMA ELETRONICO DE ALARME LTDA 
REFERENTE A DESPESAS COM LOCAÇÃO DE CFTV 
PERIODO DE 10/02/2025 A 09/03/2025, CONFORME 
DOC. 43397/92198 E COMPROVANTE DE PAGAMENTO 
DE TITULOS
</t>
  </si>
  <si>
    <t>PAGO A VFS SISTEMA ELETRONICO DE ALARME LTDA 
REFERENTE LOCAÇÃO DE CFTV/MONITORAMENTO E 
LOCAÇÃO ALARME - PERIODO DE 10/02/2025 A 09/
03/2025, CONFORME BOLETO E COMPROVANTE DE 
PAGAMENTO DE TITULOS</t>
  </si>
  <si>
    <t>PAGO A JEREMIAS N NAZARIO REFERENTE A 
PRESTAÇÃO DE SERVIÇOS NA PARTE ELETRICA - 
CONFORME NF 42 E COMPROVANTE DE PAGTO NO PIX 
CONFORME  42 MPROVANTE PIX</t>
  </si>
  <si>
    <t>PAGO A VENEZA MATERIAL DE CONSTRUCAO LTDA 
REFERENTE A DESPESAS COM MATERIAL MANUTENÇÃO 
E REPARO, CONFORME NFE 173279 E COMPROVANTE 
PIX</t>
  </si>
  <si>
    <t>PAGO A VENEZA MATERIAL DE CONSTRUCAO LTDA 
REFERENTE A DESPESAS COM MATERIAL MANUTENÇÃO 
E REPARO, CONFORME NFE 173279 E COMPROVANTE 
PIX - TARIFA</t>
  </si>
  <si>
    <t>PAGO A SECRETARIA DA FAZENDA REFERENTE A 
VISTORIA DE SEGURANÇA CONTRA INCENDIO, 
VISTORIA ANUAL, ANALISE POR REQUERIMENTO, 
CONFORME DAE 20 E COMPROVANTE DE PAGAMENTO</t>
  </si>
  <si>
    <t xml:space="preserve">PAGO A CESST REFERENTE EXAME MEDICO,  
COMPROVANTE PIX E RECIBO
</t>
  </si>
  <si>
    <t xml:space="preserve">PAGO A CESST REFERENTE EXAME MEDICO,  
COMPROVANTE PIX E RECIBO - TARIFA
</t>
  </si>
  <si>
    <t>PAGO A MANOEL CANDIDO CAVALCANTI REFERENTE 
ALUGUEL DE UMA GELADEIRA DUPLEX CONFORME NF 
0298  E COMPROVANTE PIX</t>
  </si>
  <si>
    <t>PAGO A MARIANE DIAS SOUZA REFERENTE TERMO DE 
RESCISÃO DO CONTRATO DE TRABALHO, CONFORME 
TRCT E ENTRE CONTAS CORRENTES BB</t>
  </si>
  <si>
    <t>PAGO A COMPESA REFERENTE A CONSUMO DE AGUA NO
 MÊS DE 02/2025, CONFORME FATURA E  
COMPROVANTE DE PAGAMENTO</t>
  </si>
  <si>
    <t xml:space="preserve">PAGO A COMPANHIA ENERGETICA DE PERNAMBUCO 
REFERENTE A COMPETENCIA 03/2025, CONFORME 
FATURA E COMPROVANTE DE PAGAMENTO </t>
  </si>
  <si>
    <t xml:space="preserve">PAGO A OPERADOR NACIONAL DO SISTEMA DE 
REGISTRO ELETRONICO DE IMOVEIS ( ONR ) 
REFERENTE A DESPESAS COM COTA MENSAL FIC/SREI
 12/2024, CONFORME DOC.82222711 E COMPROVANTE
 DE PAGAMENTO DE TITULOS
</t>
  </si>
  <si>
    <t xml:space="preserve">PAGO A OPERADOR NACIONAL DO SISTEMA DE 
REGISTRO ELETRONICO DE IMOVEIS ( ONR ) 
REFERENTE A DESPESAS COM COTA MENSAL FIC/SREI
 01/2025, CONFORME DOC.82222767 E COMPROVANTE
 DE PAGAMENTO DE TITULOS
</t>
  </si>
  <si>
    <t>PAGO A OPERADOR NACIONAL DO SISTEMA DE 
REGISTRO ELETRONICO DE IMOVEIS ( ONR ) 
REFERENTE A DESPESAS COM COTA MENSAL FIC/SREI
 02/2025, CONFORME DOC.82222810 E COMPROVANTE
 DE PAGAMENTO DE TITULOS</t>
  </si>
  <si>
    <t>PAGO A ASSOCIACAO DOS NOTARIOS E 
REGISTRADORES DE PERNAMBUCO REFERENTE A 
DESPESAS COM CONTRIBUIÇÃO, CONFORME DOC. 
120237408 E COMPROVANTE DE PAGAMENTO DE 
TITULOS</t>
  </si>
  <si>
    <t>PAGO A DESTAK PRINT IND COM ETIQUETAS E FORM 
LTDA - EPP REFERENTE A DESPESAS COM ETIQ.TT.
105X36-C/SEG.1COR+HOLOG, CONFORME DOC.
000020509/1/NFE000.020.509 E COMPROVANTE DE 
PAGAMENTO DE TITULOS</t>
  </si>
  <si>
    <t xml:space="preserve">PAGO A BRISANET SERVICOS DE TELECOMUNICACOES 
S.A REFERENTE A DESPESAS COM INTENERT, 
CONFORME DOC.26634630 E COMPROVANTE DE 
PAGAMENTO
</t>
  </si>
  <si>
    <t xml:space="preserve">PAGO A DTEL TELECOM LTDA REFERENTE A DESPESAS
 COM INTERNET NO MÊS DE 03/2025, CONFORME 
DOC. 13082900 E COMPROVANTE DE PAGAMENTO     
</t>
  </si>
  <si>
    <t xml:space="preserve">PAGO A ADELTEC INFORMATICA E TECNOLOGIA LTDA 
ME REFERENTE A DESPESAS COM 1.000 UND PLANO 
DE SUPORTE TECNICO EM REP DCLASS E SOFT 1.000
 UND LOCACAO SOFTWARE AD PONTO ATÉ 20 
FUNCIONARIO COMPETENCIA: 03/2025, CONFORME 
DOC. 022143/01.01/NFS-e 000022143 E 
COMPROVANTE DE PAGAMENTO
</t>
  </si>
  <si>
    <t xml:space="preserve">PAGO A SIAO - GOVERNANCA EM PRIVACIDADE DE 
DADOS E SEGURANCA DA INFORMACAO LTDA 
REFERENTE A DESPESAS COM INTELIGENCIA 
ARTIFICIAL, CONFORME DOC. 8205366699  E 
COMPROVANTE DE PAGAMENTO </t>
  </si>
  <si>
    <t>PAGO A JOSE TIAGO DA SILVA 06972690439 
REFERENTE A DESPESAS COM LOCAÇÃO DE UMA 
IMPRESSORA, CONFORME DOC. 125125521/NFS-e 454
 E COMPROVANTE DE PAGAMENTO DE TITULOS</t>
  </si>
  <si>
    <t>PAGO A TICKET SERVICOS S/A REFERENTE 
FORNECIMENTO E ADMINISTRAÇÃO DE VALES-
REFEIÇÃO, VALE-ALIMENTAÇÃO, CONFORME DOC. 1.
TL-15032551 E COMPROVANTE DE PAGAMENTO DE 
TITULOS</t>
  </si>
  <si>
    <t>PAGO AO OPERADOR NACIONA DO RESGISTRO E 
TITULOS E DOCUMENTOS E CIVIL DAS PESSOAS 
JURIDICAS REF. FIC - ON-RTDPJ 02/2025, 
CONFORME DOC.9724eb8e94864b9 E COMPROVANTE DE
 PAGAMENTO DE TITULOS</t>
  </si>
  <si>
    <t>PAGO A BRUNO R CERINO DA SILVA MATERIAL DE 
CONSTRUCAO REFERENTE A DESPESAS COM TOMADA 
PLUZIE SOBREPLUS, CONFORME NFE 14 E 
COMPROVANTE PIX</t>
  </si>
  <si>
    <t>PAGO A CONSULTICART - COMERCIO E SERVICOS EM 
INFORMATICA LTDA REFERENTE A DESPESAS COM 
IMPLANTAÇÃO CNM, CONFORME DOC. 308.03.25C E 
COMPROVANTE DE PAGAMENTO DE TITULOS</t>
  </si>
  <si>
    <t>PAGO A CHANCE PROTECAO DE DADOS, COMPLIANCE E
 INVESTIMENTOS LTDA REFERENTE A DESPESAS 
ENCARREGADO DE DADOS, RECURSOS HUMANOS E 
TREINAMENTO, CONFORME DOC.121437573 E 
COMPROVANTE DE PAGAMENTO DE TITULOS</t>
  </si>
  <si>
    <t>PAGO A JOSE CLAUDIO DE FARIAS DA SILVA 
REFERENTE A DESPESAS COM SERVIÇO DE GESSO, 
CONFORME NFA 058289 E COMPROVANTE PIX</t>
  </si>
  <si>
    <t>PAGO A JOSE CLAUDIO DE FARIAS DA SILVA 
REFERENTE A DESPESAS COM SERVIÇO DE GESSO, 
CONFORME NFA 058289 E COMPROVANTE PIX - 
TARIFA</t>
  </si>
  <si>
    <t>PAGO A MARIA ELIANE DE PAIVA SOUZA 
74605356487 REFERENTE A DESPESAS COM ..., 
CONFORME COMPROVANTE PIX - TARIFA</t>
  </si>
  <si>
    <t>PAGO A MARIA ELIANE DE PAIVA SOUZA 
74605356487 REFERENTE A DESPESAS COM ..., 
CONFORME COMPROVANTE PIX</t>
  </si>
  <si>
    <t>PAGO A F J C DOS SANTOS INFORMATICA REFERENTE
 SUPORTE TECNICO DE INFORMATICA CONFORME NF E
 COMPROVANTE DE PAGAMENTO</t>
  </si>
  <si>
    <t>PAGO A F J C DOS SANTOS INFORMATICA REFERENTE
 SUPORTE TECNICO DE INFORMATICA CONFORME NF E
 COMPROVANTE DE PAGAMENTO - TARIFA</t>
  </si>
  <si>
    <t xml:space="preserve">PAGO A CESST REFERENTE EXAME MEDICO 
DEMISSIONAL DE MARIANE DIAS DE SOUZA,  
COMPROVANTE PIX E RECIBO
</t>
  </si>
  <si>
    <t>PAGO A CLINICA DR MANOEL VALDEMAR REFERENTE 
TERAPIA OCUPACIONAL LABORAL CONFORME NFS-e  E
 COMPROVANTE PIX</t>
  </si>
  <si>
    <t>PAGO A THIAGO VILA NOVA AMARO DA REFERENTE A 
DESPESAS COM LOCAÇÃO DE MOVEIS, CONFORME 
COMPROVANTE DE PAGAMENTO - TARIFA</t>
  </si>
  <si>
    <t>PAGO A CLINICA DR MANOEL VALDEMAR REFERENTE 
TERAPIA OCUPACIONAL LABORAL CONFORME NFS-e  E
 COMPROVANTE PIX - TARIFA</t>
  </si>
  <si>
    <t>PAGO A THIAGO VILA NOVA AMARO DA REFERENTE A 
DESPESAS COM LOCAÇÃO DE MOVEIS, CONFORME 
COMPROVANTE DE PAGAMENTO</t>
  </si>
  <si>
    <t>PAGO AO BANCO DO BRASIL REFERENTE DESPESAS 
COM PACOTE DE SERVIÇOS, CONFORME CONSULTAS - 
EXTRATO DE CONTA CORRENTE</t>
  </si>
  <si>
    <t xml:space="preserve">PAGO A ATACADAO S.A. REFERENTE A DESPESAS COM
 MATERIAL DE LIMPEZA, CONFORME NFC-e 101043 
SERIE 506 E COMPROVANTE PIX
</t>
  </si>
  <si>
    <t>PAGO A MATEUS EMANUEL DA SILVA BRITO 
REFERENTE AVISO PREVIO DE FERIAS - PERIODO DE
 GOZO 03/04/2025 A 17/04/2025 = 15 DIAS, 
CONFORME RECIBO TRANSFERENCIA ENTRE CONTAS 
CORRENTES BB</t>
  </si>
  <si>
    <t>PAGO A ADIEL DE SOUZA LIRA REFERENTE LIQUIDO 
DE SALARIO DE 03/2025, CONFORME RECIBO</t>
  </si>
  <si>
    <t>PAGO A LYDIA KARINA DE MELO PESSOA LEITE 
REFERENTE LIQUIDO DE SALARIO DE 03/2025, 
CONFORME RECIBO</t>
  </si>
  <si>
    <t>PAGO A JANNE ROSA NOGUEIRA VIDAL REFERENTE 
LIQUIDO DE SALARIO DE 03/2025, CONFORME 
RECIBO</t>
  </si>
  <si>
    <t>PAGO A LEANDRO MENEZES VINHAES REFERENTE 
LIQUIDO DE SALARIO DE 03/2025, CONFORME 
RECIBO</t>
  </si>
  <si>
    <t>PAGO A SHIRLEY CALIXTO DA SILVA REFERENTE 
DIAS BOLSA AUXILIO 03/2025, CONFORME RECIBO</t>
  </si>
  <si>
    <t>PAGO A ROBERTA MARIA NOGUEIRA REFERENTE 
LIQUIDO DE SALARIO DE 03/2025, CONFORME 
RECIBO</t>
  </si>
  <si>
    <t>PAGO A RAYZA GISELLY RODRIGUES DA SILVA 
REFERENTE LIQUIDO DE SALARIO DE 03/2025, 
CONFORME RECIBO</t>
  </si>
  <si>
    <t>PAGO A MATEUS EMANUEL DA SILVA BRITO 
REFERENTE LIQUIDO DE SALARIO DE 03/2025, 
CONFORME RECIBO</t>
  </si>
  <si>
    <t>PAGO A SANDRA ANSELMO DE SANTANA REFERENTE 
LIQUIDO DE SALARIO DE 03/2025, CONFORME 
RECIBO</t>
  </si>
  <si>
    <t>PAGO A MARIANE DIAS DE SOUZA REFERENTE DIAS 
BOLSA AUXILIO DE 03/2025, CONFORME RECIBO</t>
  </si>
  <si>
    <t>PAGO A PALOMA REGINA ASSIS BARROS REFERENTE 
LIQUIDO DE SALARIO DE 03/2025, CONFORME 
RECIBO</t>
  </si>
  <si>
    <t>PAGO A MATHEUS SOARES VALENTIM GOMES 
REFERENTE LIQUIDO DE SALARIO DE 03/2025, 
CONFORME RECIBO</t>
  </si>
  <si>
    <t>PAGO A EDJANE DE ARAUJO FERNANDES REFERENTE 
LIQUIDO DE SALARIO DE 03/2025, CONFORME 
RECIBO</t>
  </si>
  <si>
    <t>PAGO A BRUNO RAFAEL DA PAZ RODRIGUES 
REFERENTE LIQUIDO DE SALARIO DE 03/2025, 
CONFORME RECIBO</t>
  </si>
  <si>
    <t>PAGO A DANIEL LUCAS RIBEIRO REFERENTE LIQUIDO
 DE SALARIO DE 03/2025, CONFORME RECIBO</t>
  </si>
  <si>
    <t>PAGO A BRUNA VIEIRA DE MELO ALBUQUERQUE 
REFERENTE LIQUIDO DE SALARIO DE 03/2025, 
CONFORME RECIBO</t>
  </si>
  <si>
    <t xml:space="preserve">PAGO A WELLEN DEBORA DA SILVA CARVALHO 
REFERENTE DIAS BOLSA AUXILIO DE 03/2025, 
CONFORME RECIBO
</t>
  </si>
  <si>
    <t>PAGO A TICKET SERVICOS S/A REFERENTE 
FORNECIMENTO E ADMINISTRAÇÃO DE VALES-
REFEIÇÃO, VALE-ALIMENTAÇÃO, CONFORME NFS-e 
82778769 E COMPROVANTE PIX</t>
  </si>
  <si>
    <t xml:space="preserve">PAGO A JOSE ANTONIO TAVARES DE A REFERENTE 
ALUGUEL DO IMOVEL LOCALIZADO NA RUA IMPERIAL,
 Nº 139, VITÓRIA DE SANTO ANTÃO/PE E 
COMPROANTE DE PAGAMENTO
</t>
  </si>
  <si>
    <t>PAGO A VENEZA MATERIAL DE CONSTRUCAO LTDA 
REFERENTE A DESPESAS COM BARRA DE APOIO, 
CONFORME NFC-e 205370 SERIE 101 E COMPROVANTE
 PIX</t>
  </si>
  <si>
    <t>PAGO A 50.610.584 D B SOUZA REFERENTE A 
PRESTAÇÃO DE SERVIÇOS, CONFORME NFS-e 55 E 
COMPROVANTE DE PAGAMENTO</t>
  </si>
  <si>
    <t>PAGO A ADIEL DE SOUZA LIRA REFERENTE LIQUIDO 
DE SALARIO DE 03/2025, CONFORME RECIBO - 
TARIFA</t>
  </si>
  <si>
    <t>PAGO A SHINTYA CARNEIRO SOARES REFERENTE A 
PRESTAÇÃO DE SERVIÇOS, CONFORME NFS-e  E 
COMPROVANTE DE PAGAMENTO</t>
  </si>
  <si>
    <t xml:space="preserve">PAGO A PEDRO TEOBALDO - SOCIEDADE INDIVIDUAL 
DE ADVOCACIA REFERENTE CONSULTORIA JURIDICA 
CONFORME DOC 127755202/ NFS-e  E COMPROVANTE 
DE PAGAMENTO </t>
  </si>
  <si>
    <t>PAGO A SECONT - SERVICOS DE CONTABILIDADE 
LTDA REFERENTE A PRESTAÇÃO DE SERVIÇOS NO MÊS
 DE 03/2025, CONFORME NFS-e 4415 E 
COMPROVANTE DE PAGAMENTO DE PAGAMENTO</t>
  </si>
  <si>
    <t>Total do Periodo:</t>
  </si>
  <si>
    <t>Saldo atual:</t>
  </si>
  <si>
    <t>Sistema licenciado para SECONT-SERVICOS DE CONTABILIDADE LTDA -ME</t>
  </si>
  <si>
    <t>PAGO A MATEUS SUPERMERCADOS S.A. REFERENTE A DESPESAS COM MATERIAL DE LIMPEZA, CONFORME NFC-e 16945 SERIE 19 E COMPROVANTE PIX</t>
  </si>
  <si>
    <t>PAGO A THIAGO VILA NOVA AMARO DA REFERENTE A DESPESAS COM ENTREGA DE MALOTES E INTIMAÇÕES, CONFORME NFS-e 23 E  COMPROVANTE DE PAGAMENTO - TARIFA</t>
  </si>
  <si>
    <t>PAGO A THIAGO VILA NOVA AMARO DA REFERENTE A DESPESAS COM ENTREGA DE MALOTES E INTIMAÇÕES, CONFORME NFS-e 23 E  COMPROVANTE DE PAGAMENTO</t>
  </si>
  <si>
    <t>PAGO A VENEZA MATERIAL DE CONSTRUCAO LTDA REFERENTE A DESPESAS COM MATERIAL DE EXPEDIENTE, CONFORME NFE 173070 E COMPROVANTE PIX</t>
  </si>
  <si>
    <t xml:space="preserve">PAGO A ZULEIDE COELHO FARIAS DE OLIVEIRA REFERENTE ASSESSORIA JURIDICA CONFORME NF E COMPROVANTE DE PAGAMENTO </t>
  </si>
  <si>
    <t>PAGO A ZULEIDE COELHO FARIAS DE OLIVEIRA REFERENTE ASSESSORIA JURIDICA CONFORME NF E COMPROVANTE DE PAGAMENTO - TARIFA</t>
  </si>
  <si>
    <t>PAGO A ADIEL DE SOUZA LIRA REFERENTE A AVISO PRÉVIO DE FÉRIAS PERIODO DE GOZO 10/03/2025 A 29/03/2025 = 20 DIAS, CONFORME RECIBO E COMPROVANTE PIX</t>
  </si>
  <si>
    <t>PAGO A PERNAMBUCO INFORMATICA ASSESSORIA TECNICA LTDA REFERENTE A DESPESAS COM ASSESSORIA TECNICA DE TI, CONFORME DOC.123769268/NFS-e 0695  E COMPROVANTE DE PAGAMENTO DE TITULOS</t>
  </si>
  <si>
    <t>PPAGO A JEREMIAS N NAZARIO REFERENTE A PRESTAÇÃO DE SERVIÇOS NA PARTE ELETRICA - CONFORME NF 42 E COMPROVANTE DE PAGTO NO PIX CONFORME  42 MPROVANTE PIX - TARIFA PIX</t>
  </si>
  <si>
    <t>PAGO A ADIEL DE SOUZA LIRA REFERENTE A AVISO PRÉVIO DE FÉRIAS PERIODO DE GOZO 10/03/2025 A 29/03/2025 = 20 DIAS, CONFORME RECIBO E COMPROVANTE PIX - TARIFA</t>
  </si>
  <si>
    <t>PAGO A VFS SISTEMA ELETRONICO DE ALARME LTDA REFERENTE A DESPESAS COM LOCAÇÃO DE CFTV PERIODO DE 10/02/2025 A 09/03/2025, CONFORME DOC. 43397/92198 E COMPROVANTE DE PAGAMENTO DE TITULOS</t>
  </si>
  <si>
    <t>PAGO A VFS SISTEMA ELETRONICO DE ALARME LTDA REFERENTE LOCAÇÃO DE CFTV/MONITORAMENTO E LOCAÇÃO ALARME - PERIODO DE 10/02/2025 A 09/03/2025, CONFORME BOLETO E COMPROVANTE DE PAGAMENTO DE TITULOS</t>
  </si>
  <si>
    <t>PAGO A JEREMIAS N NAZARIO REFERENTE A PRESTAÇÃO DE SERVIÇOS NA PARTE ELETRICA - CONFORME NF 42 E COMPROVANTE DE PAGTO NO PIX CONFORME  42 MPROVANTE PIX</t>
  </si>
  <si>
    <t>PAGO A VENEZA MATERIAL DE CONSTRUCAO LTDA REFERENTE A DESPESAS COM MATERIAL MANUTENÇÃO E REPARO, CONFORME NFE 173279 E COMPROVANTE PIX</t>
  </si>
  <si>
    <t>PAGO A VENEZA MATERIAL DE CONSTRUCAO LTDA REFERENTE A DESPESAS COM MATERIAL MANUTENÇÃO E REPARO, CONFORME NFE 173279 E COMPROVANTE PIX - TARIFA</t>
  </si>
  <si>
    <t>PAGO A SECRETARIA DA FAZENDA REFERENTE A VISTORIA DE SEGURANÇA CONTRA INCENDIO, VISTORIA ANUAL, ANALISE POR REQUERIMENTO, CONFORME DAE 20 E COMPROVANTE DE PAGAMENTO</t>
  </si>
  <si>
    <t>PAGO A CESST REFERENTE EXAME MEDICO,  COMPROVANTE PIX E RECIBO</t>
  </si>
  <si>
    <t>PAGO A CESST REFERENTE EXAME MEDICO,  COMPROVANTE PIX E RECIBO - TARIFA</t>
  </si>
  <si>
    <t>PAGO A MANOEL CANDIDO CAVALCANTI REFERENTE ALUGUEL DE UMA GELADEIRA DUPLEX CONFORME NF 0298  E COMPROVANTE PIX</t>
  </si>
  <si>
    <t>PAGO A MARIANE DIAS SOUZA REFERENTE TERMO DE RESCISÃO DO CONTRATO DE TRABALHO, CONFORME TRCT E ENTRE CONTAS CORRENTES BB</t>
  </si>
  <si>
    <t>PAGO A COMPESA REFERENTE A CONSUMO DE AGUA NO MÊS DE 02/2025, CONFORME FATURA E  COMPROVANTE DE PAGAMENTO</t>
  </si>
  <si>
    <t xml:space="preserve">PAGO A COMPANHIA ENERGETICA DE PERNAMBUCO REFERENTE A COMPETENCIA 03/2025, CONFORME FATURA E COMPROVANTE DE PAGAMENTO </t>
  </si>
  <si>
    <t>PAGO A OPERADOR NACIONAL DO SISTEMA DE REGISTRO ELETRONICO DE IMOVEIS ( ONR ) REFERENTE A DESPESAS COM COTA MENSAL FIC/SREI 12/2024, CONFORME DOC.82222711 E COMPROVANTE DE PAGAMENTO DE TITULOS</t>
  </si>
  <si>
    <t>PAGO A OPERADOR NACIONAL DO SISTEMA DE REGISTRO ELETRONICO DE IMOVEIS ( ONR ) REFERENTE A DESPESAS COM COTA MENSAL FIC/SREI 01/2025, CONFORME DOC.82222767 E COMPROVANTE DE PAGAMENTO DE TITULOS</t>
  </si>
  <si>
    <t>PAGO A OPERADOR NACIONAL DO SISTEMA DE REGISTRO ELETRONICO DE IMOVEIS ( ONR ) REFERENTE A DESPESAS COM COTA MENSAL FIC/SREI 02/2025, CONFORME DOC.82222810 E COMPROVANTE DE PAGAMENTO DE TITULOS</t>
  </si>
  <si>
    <t>PAGO A ASSOCIACAO DOS NOTARIOS E REGISTRADORES DE PERNAMBUCO REFERENTE A DESPESAS COM CONTRIBUIÇÃO, CONFORME DOC. 120237408 E COMPROVANTE DE PAGAMENTO DE TITULOS</t>
  </si>
  <si>
    <t>PAGO A DESTAK PRINT IND COM ETIQUETAS E FORM LTDA - EPP REFERENTE A DESPESAS COM ETIQ.TT.105X36-C/SEG.1COR+HOLOG, CONFORME DOC.000020509/1/NFE000.020.509 E COMPROVANTE DE PAGAMENTO DE TITULOS</t>
  </si>
  <si>
    <t>PAGO A BRISANET SERVICOS DE TELECOMUNICACOES S.A REFERENTE A DESPESAS COM INTENERT, CONFORME DOC.26634630 E COMPROVANTE DE PAGAMENTO</t>
  </si>
  <si>
    <t xml:space="preserve">PAGO A DTEL TELECOM LTDA REFERENTE A DESPESAS COM INTERNET NO MÊS DE 03/2025, CONFORME DOC. 13082900 E COMPROVANTE DE PAGAMENTO                 </t>
  </si>
  <si>
    <t>PAGO A ADELTEC INFORMATICA E TECNOLOGIA LTDA ME REFERENTE A DESPESAS COM 1.000 UND PLANO DE SUPORTE TECNICO EM REP DCLASS E SOFT 1.000 UND LOCACAO SOFTWARE AD PONTO ATÉ 20 FUNCIONARIO COMPETENCIA: 03/2025, CONFORME DOC. 022143/01.01/NFS-e 000022143 E COMPROVANTE DE PAGAMENTO</t>
  </si>
  <si>
    <t xml:space="preserve">PAGO A SIAO - GOVERNANCA EM PRIVACIDADE DE DADOS E SEGURANCA DA INFORMACAO LTDA REFERENTE A DESPESAS COM INTELIGENCIA ARTIFICIAL, CONFORME DOC. 8205366699  E COMPROVANTE DE PAGAMENTO </t>
  </si>
  <si>
    <t>PAGO A JOSE TIAGO DA SILVA 06972690439 REFERENTE A DESPESAS COM LOCAÇÃO DE UMA IMPRESSORA, CONFORME DOC. 125125521/NFS-e 454 E COMPROVANTE DE PAGAMENTO DE TITULOS</t>
  </si>
  <si>
    <t>PAGO A TICKET SERVICOS S/A REFERENTE FORNECIMENTO E ADMINISTRAÇÃO DE VALES-REFEIÇÃO, VALE-ALIMENTAÇÃO, CONFORME DOC. 1.TL-15032551 E COMPROVANTE DE PAGAMENTO DE TITULOS</t>
  </si>
  <si>
    <t>PAGO AO OPERADOR NACIONA DO RESGISTRO E TITULOS E DOCUMENTOS E CIVIL DAS PESSOAS JURIDICAS REF. FIC - ON-RTDPJ 02/2025, CONFORME DOC.9724eb8e94864b9 E COMPROVANTE DE PAGAMENTO DE TITULOS</t>
  </si>
  <si>
    <t>PAGO A BRUNO R CERINO DA SILVA MATERIAL DE CONSTRUCAO REFERENTE A DESPESAS COM TOMADA PLUZIE SOBREPLUS, CONFORME NFE 14 E COMPROVANTE PIX</t>
  </si>
  <si>
    <t>PAGO A CONSULTICART - COMERCIO E SERVICOS EM INFORMATICA LTDA REFERENTE A DESPESAS COM IMPLANTAÇÃO CNM, CONFORME DOC. 308.03.25C E COMPROVANTE DE PAGAMENTO DE TITULOS</t>
  </si>
  <si>
    <t>PAGO A CHANCE PROTECAO DE DADOS, COMPLIANCE E INVESTIMENTOS LTDA REFERENTE A DESPESAS ENCARREGADO DE DADOS, RECURSOS HUMANOS E TREINAMENTO, CONFORME DOC.121437573 E COMPROVANTE DE PAGAMENTO DE TITULOS</t>
  </si>
  <si>
    <t>PAGO A JOSE CLAUDIO DE FARIAS DA SILVA REFERENTE A DESPESAS COM SERVIÇO DE GESSO, CONFORME NFA 058289 E COMPROVANTE PIX</t>
  </si>
  <si>
    <t>PAGO A JOSE CLAUDIO DE FARIAS DA SILVA REFERENTE A DESPESAS COM SERVIÇO DE GESSO, CONFORME NFA 058289 E COMPROVANTE PIX - TARIFA</t>
  </si>
  <si>
    <t>PAGO A MARIA ELIANE DE PAIVA SOUZA 74605356487 REFERENTE A DESPESAS COM ..., CONFORME COMPROVANTE PIX - TARIFA</t>
  </si>
  <si>
    <t>PAGO A MARIA ELIANE DE PAIVA SOUZA 74605356487 REFERENTE A DESPESAS COM ..., CONFORME COMPROVANTE PIX</t>
  </si>
  <si>
    <t>PAGO A F J C DOS SANTOS INFORMATICA REFERENTE SUPORTE TECNICO DE INFORMATICA CONFORME NF E COMPROVANTE DE PAGAMENTO</t>
  </si>
  <si>
    <t>PAGO A F J C DOS SANTOS INFORMATICA REFERENTE SUPORTE TECNICO DE INFORMATICA CONFORME NF E COMPROVANTE DE PAGAMENTO - TARIFA</t>
  </si>
  <si>
    <t>PAGO A CESST REFERENTE EXAME MEDICO DEMISSIONAL DE MARIANE DIAS DE SOUZA,  COMPROVANTE PIX E RECIBO</t>
  </si>
  <si>
    <t>PAGO A CLINICA DR MANOEL VALDEMAR REFERENTE TERAPIA OCUPACIONAL LABORAL CONFORME NFS-e  E COMPROVANTE PIX</t>
  </si>
  <si>
    <t>PAGO A THIAGO VILA NOVA AMARO DA REFERENTE A DESPESAS COM LOCAÇÃO DE MOVEIS, CONFORME COMPROVANTE DE PAGAMENTO - TARIFA</t>
  </si>
  <si>
    <t>PAGO A CLINICA DR MANOEL VALDEMAR REFERENTE TERAPIA OCUPACIONAL LABORAL CONFORME NFS-e  E COMPROVANTE PIX - TARIFA</t>
  </si>
  <si>
    <t>PAGO A THIAGO VILA NOVA AMARO DA REFERENTE A DESPESAS COM LOCAÇÃO DE MOVEIS, CONFORME COMPROVANTE DE PAGAMENTO</t>
  </si>
  <si>
    <t>PAGO AO BANCO DO BRASIL REFERENTE DESPESAS COM PACOTE DE SERVIÇOS, CONFORME CONSULTAS - EXTRATO DE CONTA CORRENTE</t>
  </si>
  <si>
    <t>PAGO A ATACADAO S.A. REFERENTE A DESPESAS COM MATERIAL DE LIMPEZA, CONFORME NFC-e 101043 SERIE 506 E COMPROVANTE PIX</t>
  </si>
  <si>
    <t>PAGO A MATEUS EMANUEL DA SILVA BRITO REFERENTE AVISO PREVIO DE FERIAS - PERIODO DE GOZO 03/04/2025 A 17/04/2025 = 15 DIAS, CONFORME RECIBO TRANSFERENCIA ENTRE CONTAS CORRENTES BB</t>
  </si>
  <si>
    <t>PAGO A ADIEL DE SOUZA LIRA REFERENTE LIQUIDO DE SALARIO DE 03/2025, CONFORME RECIBO</t>
  </si>
  <si>
    <t>PAGO A LYDIA KARINA DE MELO PESSOA LEITE REFERENTE LIQUIDO DE SALARIO DE 03/2025, CONFORME RECIBO</t>
  </si>
  <si>
    <t>PAGO A JANNE ROSA NOGUEIRA VIDAL REFERENTE LIQUIDO DE SALARIO DE 03/2025, CONFORME RECIBO</t>
  </si>
  <si>
    <t>PAGO A LEANDRO MENEZES VINHAES REFERENTE LIQUIDO DE SALARIO DE 03/2025, CONFORME RECIBO</t>
  </si>
  <si>
    <t>PAGO A SHIRLEY CALIXTO DA SILVA REFERENTE DIAS BOLSA AUXILIO 03/2025, CONFORME RECIBO</t>
  </si>
  <si>
    <t>PAGO A ROBERTA MARIA NOGUEIRA REFERENTE LIQUIDO DE SALARIO DE 03/2025, CONFORME RECIBO</t>
  </si>
  <si>
    <t>PAGO A RAYZA GISELLY RODRIGUES DA SILVA REFERENTE LIQUIDO DE SALARIO DE 03/2025, CONFORME RECIBO</t>
  </si>
  <si>
    <t>PAGO A MATEUS EMANUEL DA SILVA BRITO REFERENTE LIQUIDO DE SALARIO DE 03/2025, CONFORME RECIBO</t>
  </si>
  <si>
    <t>PAGO A SANDRA ANSELMO DE SANTANA REFERENTE LIQUIDO DE SALARIO DE 03/2025, CONFORME RECIBO</t>
  </si>
  <si>
    <t>PAGO A MARIANE DIAS DE SOUZA REFERENTE DIAS BOLSA AUXILIO DE 03/2025, CONFORME RECIBO</t>
  </si>
  <si>
    <t>PAGO A PALOMA REGINA ASSIS BARROS REFERENTE LIQUIDO DE SALARIO DE 03/2025, CONFORME RECIBO</t>
  </si>
  <si>
    <t>PAGO A MATHEUS SOARES VALENTIM GOMES REFERENTE LIQUIDO DE SALARIO DE 03/2025, CONFORME RECIBO</t>
  </si>
  <si>
    <t>PAGO A EDJANE DE ARAUJO FERNANDES REFERENTE LIQUIDO DE SALARIO DE 03/2025, CONFORME RECIBO</t>
  </si>
  <si>
    <t>PAGO A BRUNO RAFAEL DA PAZ RODRIGUES REFERENTE LIQUIDO DE SALARIO DE 03/2025, CONFORME RECIBO</t>
  </si>
  <si>
    <t>PAGO A DANIEL LUCAS RIBEIRO REFERENTE LIQUIDO DE SALARIO DE 03/2025, CONFORME RECIBO</t>
  </si>
  <si>
    <t>PAGO A BRUNA VIEIRA DE MELO ALBUQUERQUE REFERENTE LIQUIDO DE SALARIO DE 03/2025, CONFORME RECIBO</t>
  </si>
  <si>
    <t>PAGO A WELLEN DEBORA DA SILVA CARVALHO REFERENTE DIAS BOLSA AUXILIO DE 03/2025, CONFORME RECIBO</t>
  </si>
  <si>
    <t>PAGO A TICKET SERVICOS S/A REFERENTE FORNECIMENTO E ADMINISTRAÇÃO DE VALES-REFEIÇÃO, VALE-ALIMENTAÇÃO, CONFORME NFS-e 82778769 E COMPROVANTE PIX</t>
  </si>
  <si>
    <t>PAGO A JOSE ANTONIO TAVARES DE A REFERENTE ALUGUEL DO IMOVEL LOCALIZADO NA RUA IMPERIAL, Nº 139, VITÓRIA DE SANTO ANTÃO/PE E COMPROANTE DE PAGAMENTO</t>
  </si>
  <si>
    <t>PAGO A VENEZA MATERIAL DE CONSTRUCAO LTDA REFERENTE A DESPESAS COM BARRA DE APOIO, CONFORME NFC-e 205370 SERIE 101 E COMPROVANTE PIX</t>
  </si>
  <si>
    <t>PAGO A 50.610.584 D B SOUZA REFERENTE A PRESTAÇÃO DE SERVIÇOS, CONFORME NFS-e 55 E COMPROVANTE DE PAGAMENTO</t>
  </si>
  <si>
    <t>PAGO A ADIEL DE SOUZA LIRA REFERENTE LIQUIDO DE SALARIO DE 03/2025, CONFORME RECIBO - TARIFA</t>
  </si>
  <si>
    <t>PAGO A SHINTYA CARNEIRO SOARES REFERENTE A PRESTAÇÃO DE SERVIÇOS, CONFORME NFS-e  E COMPROVANTE DE PAGAMENTO</t>
  </si>
  <si>
    <t xml:space="preserve">PAGO A PEDRO TEOBALDO - SOCIEDADE INDIVIDUAL DE ADVOCACIA REFERENTE CONSULTORIA JURIDICA CONFORME DOC 127755202/ NFS-e  E COMPROVANTE DE PAGAMENTO </t>
  </si>
  <si>
    <t>PAGO A SECONT - SERVICOS DE CONTABILIDADE LTDA REFERENTE A PRESTAÇÃO DE SERVIÇOS NO MÊS DE 03/2025, CONFORME NFS-e 4415 E COMPROVANTE DE PAGAMENTO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</si>
</sst>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#,##0.00;\(#,##0.00\);#,##0.00"/>
    <numFmt numFmtId="165" formatCode="0000"/>
  </numFmts>
  <fonts count="8" x14ac:knownFonts="1">
    <font>
      <sz val="10"/>
      <name val="Arial"/>
    </font>
    <font>
      <sz val="7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7"/>
      <color indexed="8"/>
      <name val="Tahoma"/>
      <family val="1"/>
    </font>
    <font>
      <sz val="12"/>
      <color indexed="8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" fontId="1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right" vertical="top" wrapText="1"/>
    </xf>
    <xf numFmtId="14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43" fontId="6" fillId="0" borderId="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0"/>
  <sheetViews>
    <sheetView showGridLines="0" tabSelected="1" workbookViewId="0">
      <selection activeCell="R2" sqref="R1:R1048576"/>
    </sheetView>
  </sheetViews>
  <sheetFormatPr defaultRowHeight="13.2" x14ac:dyDescent="0.25"/>
  <cols>
    <col min="1" max="1" width="8.109375" customWidth="1"/>
    <col min="2" max="2" width="1.21875" customWidth="1"/>
    <col min="3" max="3" width="1.88671875" customWidth="1"/>
    <col min="4" max="4" width="5.5546875" customWidth="1"/>
    <col min="5" max="5" width="3.5546875" customWidth="1"/>
    <col min="6" max="6" width="5.77734375" customWidth="1"/>
    <col min="7" max="7" width="1" customWidth="1"/>
    <col min="8" max="8" width="2.109375" customWidth="1"/>
    <col min="9" max="9" width="1" customWidth="1"/>
    <col min="10" max="10" width="8.6640625" customWidth="1"/>
    <col min="11" max="11" width="10.77734375" customWidth="1"/>
    <col min="12" max="12" width="2.44140625" customWidth="1"/>
    <col min="13" max="13" width="11.21875" customWidth="1"/>
    <col min="14" max="14" width="1.21875" customWidth="1"/>
    <col min="15" max="15" width="1.33203125" customWidth="1"/>
    <col min="16" max="16" width="16.33203125" customWidth="1"/>
    <col min="17" max="17" width="1.5546875" customWidth="1"/>
    <col min="18" max="18" width="14.88671875" customWidth="1"/>
    <col min="19" max="19" width="1.5546875" customWidth="1"/>
    <col min="20" max="20" width="1" customWidth="1"/>
    <col min="21" max="21" width="1.5546875" customWidth="1"/>
    <col min="22" max="22" width="5.21875" customWidth="1"/>
    <col min="23" max="23" width="4.21875" customWidth="1"/>
    <col min="24" max="24" width="8" customWidth="1"/>
  </cols>
  <sheetData>
    <row r="1" spans="1:24" ht="10.95" customHeight="1" x14ac:dyDescent="0.25">
      <c r="A1" s="18" t="s">
        <v>1</v>
      </c>
      <c r="B1" s="18"/>
      <c r="C1" s="18"/>
      <c r="E1" s="22" t="s">
        <v>0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T1" s="23" t="s">
        <v>2</v>
      </c>
      <c r="U1" s="23"/>
      <c r="V1" s="23"/>
      <c r="X1" s="3">
        <v>1</v>
      </c>
    </row>
    <row r="2" spans="1:24" ht="11.7" customHeight="1" x14ac:dyDescent="0.25">
      <c r="A2" s="4" t="s">
        <v>3</v>
      </c>
      <c r="E2" s="23" t="s">
        <v>4</v>
      </c>
      <c r="F2" s="23"/>
      <c r="G2" s="23"/>
      <c r="H2" s="23"/>
      <c r="I2" s="23"/>
      <c r="J2" s="23"/>
    </row>
    <row r="3" spans="1:24" ht="11.7" customHeight="1" x14ac:dyDescent="0.25">
      <c r="A3" s="4" t="s">
        <v>6</v>
      </c>
      <c r="E3" s="23" t="s">
        <v>5</v>
      </c>
      <c r="F3" s="23"/>
      <c r="H3" s="4" t="s">
        <v>7</v>
      </c>
      <c r="J3" s="4" t="s">
        <v>8</v>
      </c>
    </row>
    <row r="4" spans="1:24" ht="11.7" customHeight="1" x14ac:dyDescent="0.25">
      <c r="A4" s="23" t="s">
        <v>9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24" ht="24.45" customHeight="1" x14ac:dyDescent="0.25"/>
    <row r="6" spans="1:24" ht="10.199999999999999" customHeight="1" x14ac:dyDescent="0.25">
      <c r="A6" s="17" t="s">
        <v>10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ht="12.45" customHeight="1" x14ac:dyDescent="0.25"/>
    <row r="8" spans="1:24" ht="10.199999999999999" customHeight="1" x14ac:dyDescent="0.25">
      <c r="A8" s="5" t="s">
        <v>15</v>
      </c>
      <c r="F8" s="18" t="s">
        <v>11</v>
      </c>
      <c r="G8" s="18"/>
      <c r="H8" s="18"/>
      <c r="I8" s="18"/>
      <c r="J8" s="18"/>
      <c r="K8" s="18"/>
      <c r="L8" s="18"/>
      <c r="M8" s="18"/>
      <c r="N8" s="18"/>
      <c r="P8" s="6" t="s">
        <v>12</v>
      </c>
      <c r="R8" s="19" t="s">
        <v>13</v>
      </c>
      <c r="S8" s="19"/>
      <c r="T8" s="19"/>
      <c r="V8" s="19" t="s">
        <v>14</v>
      </c>
      <c r="W8" s="19"/>
      <c r="X8" s="19"/>
    </row>
    <row r="9" spans="1:24" ht="13.95" customHeight="1" x14ac:dyDescent="0.25">
      <c r="F9" s="21" t="s">
        <v>16</v>
      </c>
      <c r="G9" s="21"/>
      <c r="H9" s="21"/>
      <c r="I9" s="21"/>
      <c r="J9" s="21"/>
      <c r="K9" s="21"/>
      <c r="L9" s="21"/>
      <c r="M9" s="21"/>
      <c r="V9" s="20">
        <v>213890.12</v>
      </c>
      <c r="W9" s="20"/>
      <c r="X9" s="20"/>
    </row>
    <row r="10" spans="1:24" ht="10.95" customHeight="1" x14ac:dyDescent="0.25">
      <c r="A10" s="7">
        <v>45721</v>
      </c>
      <c r="F10" s="24" t="s">
        <v>17</v>
      </c>
      <c r="G10" s="24"/>
      <c r="H10" s="24"/>
      <c r="I10" s="24"/>
      <c r="J10" s="24"/>
      <c r="K10" s="24"/>
      <c r="L10" s="24"/>
      <c r="M10" s="24"/>
      <c r="N10" s="24"/>
      <c r="P10" s="2">
        <v>3699.03</v>
      </c>
      <c r="V10" s="20">
        <v>217589.15</v>
      </c>
      <c r="W10" s="20"/>
      <c r="X10" s="20"/>
    </row>
    <row r="11" spans="1:24" ht="10.95" customHeight="1" x14ac:dyDescent="0.25">
      <c r="A11" s="7">
        <v>45721</v>
      </c>
      <c r="F11" s="24" t="s">
        <v>18</v>
      </c>
      <c r="G11" s="24"/>
      <c r="H11" s="24"/>
      <c r="I11" s="24"/>
      <c r="J11" s="24"/>
      <c r="K11" s="24"/>
      <c r="L11" s="24"/>
      <c r="M11" s="24"/>
      <c r="N11" s="24"/>
      <c r="R11" s="25">
        <v>1844.05</v>
      </c>
      <c r="S11" s="25"/>
      <c r="T11" s="25"/>
      <c r="V11" s="20">
        <v>215745.1</v>
      </c>
      <c r="W11" s="20"/>
      <c r="X11" s="20"/>
    </row>
    <row r="12" spans="1:24" ht="10.95" customHeight="1" x14ac:dyDescent="0.25">
      <c r="A12" s="7">
        <v>45721</v>
      </c>
      <c r="F12" s="24" t="s">
        <v>19</v>
      </c>
      <c r="G12" s="24"/>
      <c r="H12" s="24"/>
      <c r="I12" s="24"/>
      <c r="J12" s="24"/>
      <c r="K12" s="24"/>
      <c r="L12" s="24"/>
      <c r="M12" s="24"/>
      <c r="N12" s="24"/>
      <c r="R12" s="25">
        <v>10</v>
      </c>
      <c r="S12" s="25"/>
      <c r="T12" s="25"/>
      <c r="V12" s="20">
        <v>215735.1</v>
      </c>
      <c r="W12" s="20"/>
      <c r="X12" s="20"/>
    </row>
    <row r="13" spans="1:24" ht="10.95" customHeight="1" x14ac:dyDescent="0.25">
      <c r="A13" s="7">
        <v>45721</v>
      </c>
      <c r="F13" s="24" t="s">
        <v>20</v>
      </c>
      <c r="G13" s="24"/>
      <c r="H13" s="24"/>
      <c r="I13" s="24"/>
      <c r="J13" s="24"/>
      <c r="K13" s="24"/>
      <c r="L13" s="24"/>
      <c r="M13" s="24"/>
      <c r="N13" s="24"/>
      <c r="R13" s="25">
        <v>5500</v>
      </c>
      <c r="S13" s="25"/>
      <c r="T13" s="25"/>
      <c r="V13" s="20">
        <v>210235.1</v>
      </c>
      <c r="W13" s="20"/>
      <c r="X13" s="20"/>
    </row>
    <row r="14" spans="1:24" ht="10.95" customHeight="1" x14ac:dyDescent="0.25">
      <c r="A14" s="7">
        <v>45722</v>
      </c>
      <c r="F14" s="24" t="s">
        <v>17</v>
      </c>
      <c r="G14" s="24"/>
      <c r="H14" s="24"/>
      <c r="I14" s="24"/>
      <c r="J14" s="24"/>
      <c r="K14" s="24"/>
      <c r="L14" s="24"/>
      <c r="M14" s="24"/>
      <c r="N14" s="24"/>
      <c r="P14" s="2">
        <v>222.35</v>
      </c>
      <c r="V14" s="20">
        <v>210457.44999999998</v>
      </c>
      <c r="W14" s="20"/>
      <c r="X14" s="20"/>
    </row>
    <row r="15" spans="1:24" ht="10.95" customHeight="1" x14ac:dyDescent="0.25">
      <c r="A15" s="7">
        <v>45722</v>
      </c>
      <c r="F15" s="24" t="s">
        <v>21</v>
      </c>
      <c r="G15" s="24"/>
      <c r="H15" s="24"/>
      <c r="I15" s="24"/>
      <c r="J15" s="24"/>
      <c r="K15" s="24"/>
      <c r="L15" s="24"/>
      <c r="M15" s="24"/>
      <c r="N15" s="24"/>
      <c r="R15" s="25">
        <v>474.5</v>
      </c>
      <c r="S15" s="25"/>
      <c r="T15" s="25"/>
      <c r="V15" s="20">
        <v>209982.94999999998</v>
      </c>
      <c r="W15" s="20"/>
      <c r="X15" s="20"/>
    </row>
    <row r="16" spans="1:24" ht="10.95" customHeight="1" x14ac:dyDescent="0.25">
      <c r="A16" s="7">
        <v>45722</v>
      </c>
      <c r="F16" s="24" t="s">
        <v>22</v>
      </c>
      <c r="G16" s="24"/>
      <c r="H16" s="24"/>
      <c r="I16" s="24"/>
      <c r="J16" s="24"/>
      <c r="K16" s="24"/>
      <c r="L16" s="24"/>
      <c r="M16" s="24"/>
      <c r="N16" s="24"/>
      <c r="R16" s="25">
        <v>2000</v>
      </c>
      <c r="S16" s="25"/>
      <c r="T16" s="25"/>
      <c r="V16" s="20">
        <v>207982.94999999998</v>
      </c>
      <c r="W16" s="20"/>
      <c r="X16" s="20"/>
    </row>
    <row r="17" spans="1:24" ht="10.95" customHeight="1" x14ac:dyDescent="0.25">
      <c r="A17" s="7">
        <v>45722</v>
      </c>
      <c r="F17" s="24" t="s">
        <v>23</v>
      </c>
      <c r="G17" s="24"/>
      <c r="H17" s="24"/>
      <c r="I17" s="24"/>
      <c r="J17" s="24"/>
      <c r="K17" s="24"/>
      <c r="L17" s="24"/>
      <c r="M17" s="24"/>
      <c r="N17" s="24"/>
      <c r="R17" s="25">
        <v>10</v>
      </c>
      <c r="S17" s="25"/>
      <c r="T17" s="25"/>
      <c r="V17" s="20">
        <v>207972.94999999998</v>
      </c>
      <c r="W17" s="20"/>
      <c r="X17" s="20"/>
    </row>
    <row r="18" spans="1:24" ht="10.95" customHeight="1" x14ac:dyDescent="0.25">
      <c r="A18" s="7">
        <v>45723</v>
      </c>
      <c r="F18" s="24" t="s">
        <v>17</v>
      </c>
      <c r="G18" s="24"/>
      <c r="H18" s="24"/>
      <c r="I18" s="24"/>
      <c r="J18" s="24"/>
      <c r="K18" s="24"/>
      <c r="L18" s="24"/>
      <c r="M18" s="24"/>
      <c r="N18" s="24"/>
      <c r="P18" s="2">
        <v>1866.97</v>
      </c>
      <c r="V18" s="20">
        <v>209839.91999999995</v>
      </c>
      <c r="W18" s="20"/>
      <c r="X18" s="20"/>
    </row>
    <row r="19" spans="1:24" ht="10.95" customHeight="1" x14ac:dyDescent="0.25">
      <c r="A19" s="7">
        <v>45723</v>
      </c>
      <c r="F19" s="24" t="s">
        <v>24</v>
      </c>
      <c r="G19" s="24"/>
      <c r="H19" s="24"/>
      <c r="I19" s="24"/>
      <c r="J19" s="24"/>
      <c r="K19" s="24"/>
      <c r="L19" s="24"/>
      <c r="M19" s="24"/>
      <c r="N19" s="24"/>
      <c r="R19" s="25">
        <v>3024.09</v>
      </c>
      <c r="S19" s="25"/>
      <c r="T19" s="25"/>
      <c r="V19" s="20">
        <v>206815.83</v>
      </c>
      <c r="W19" s="20"/>
      <c r="X19" s="20"/>
    </row>
    <row r="20" spans="1:24" ht="10.95" customHeight="1" x14ac:dyDescent="0.25">
      <c r="A20" s="7">
        <v>45723</v>
      </c>
      <c r="F20" s="24" t="s">
        <v>25</v>
      </c>
      <c r="G20" s="24"/>
      <c r="H20" s="24"/>
      <c r="I20" s="24"/>
      <c r="J20" s="24"/>
      <c r="K20" s="24"/>
      <c r="L20" s="24"/>
      <c r="M20" s="24"/>
      <c r="N20" s="24"/>
      <c r="R20" s="25">
        <v>1419</v>
      </c>
      <c r="S20" s="25"/>
      <c r="T20" s="25"/>
      <c r="V20" s="20">
        <v>205396.83</v>
      </c>
      <c r="W20" s="20"/>
      <c r="X20" s="20"/>
    </row>
    <row r="21" spans="1:24" ht="10.95" customHeight="1" x14ac:dyDescent="0.25">
      <c r="A21" s="7">
        <v>45723</v>
      </c>
      <c r="F21" s="24" t="s">
        <v>26</v>
      </c>
      <c r="G21" s="24"/>
      <c r="H21" s="24"/>
      <c r="I21" s="24"/>
      <c r="J21" s="24"/>
      <c r="K21" s="24"/>
      <c r="L21" s="24"/>
      <c r="M21" s="24"/>
      <c r="N21" s="24"/>
      <c r="R21" s="25">
        <v>2.4700000000000002</v>
      </c>
      <c r="S21" s="25"/>
      <c r="T21" s="25"/>
      <c r="V21" s="20">
        <v>205394.36</v>
      </c>
      <c r="W21" s="20"/>
      <c r="X21" s="20"/>
    </row>
    <row r="22" spans="1:24" ht="10.95" customHeight="1" x14ac:dyDescent="0.25">
      <c r="A22" s="7">
        <v>45723</v>
      </c>
      <c r="F22" s="24" t="s">
        <v>27</v>
      </c>
      <c r="G22" s="24"/>
      <c r="H22" s="24"/>
      <c r="I22" s="24"/>
      <c r="J22" s="24"/>
      <c r="K22" s="24"/>
      <c r="L22" s="24"/>
      <c r="M22" s="24"/>
      <c r="N22" s="24"/>
      <c r="R22" s="25">
        <v>10</v>
      </c>
      <c r="S22" s="25"/>
      <c r="T22" s="25"/>
      <c r="V22" s="20">
        <v>205384.36</v>
      </c>
      <c r="W22" s="20"/>
      <c r="X22" s="20"/>
    </row>
    <row r="23" spans="1:24" ht="10.95" customHeight="1" x14ac:dyDescent="0.25">
      <c r="A23" s="7">
        <v>45723</v>
      </c>
      <c r="F23" s="24" t="s">
        <v>28</v>
      </c>
      <c r="G23" s="24"/>
      <c r="H23" s="24"/>
      <c r="I23" s="24"/>
      <c r="J23" s="24"/>
      <c r="K23" s="24"/>
      <c r="L23" s="24"/>
      <c r="M23" s="24"/>
      <c r="N23" s="24"/>
      <c r="R23" s="25">
        <v>225.7</v>
      </c>
      <c r="S23" s="25"/>
      <c r="T23" s="25"/>
      <c r="V23" s="20">
        <v>205158.66</v>
      </c>
      <c r="W23" s="20"/>
      <c r="X23" s="20"/>
    </row>
    <row r="24" spans="1:24" ht="10.95" customHeight="1" x14ac:dyDescent="0.25">
      <c r="A24" s="7">
        <v>45723</v>
      </c>
      <c r="F24" s="24" t="s">
        <v>29</v>
      </c>
      <c r="G24" s="24"/>
      <c r="H24" s="24"/>
      <c r="I24" s="24"/>
      <c r="J24" s="24"/>
      <c r="K24" s="24"/>
      <c r="L24" s="24"/>
      <c r="M24" s="24"/>
      <c r="N24" s="24"/>
      <c r="R24" s="25">
        <v>898</v>
      </c>
      <c r="S24" s="25"/>
      <c r="T24" s="25"/>
      <c r="V24" s="20">
        <v>204260.66</v>
      </c>
      <c r="W24" s="20"/>
      <c r="X24" s="20"/>
    </row>
    <row r="25" spans="1:24" ht="10.95" customHeight="1" x14ac:dyDescent="0.25">
      <c r="A25" s="7">
        <v>45723</v>
      </c>
      <c r="F25" s="24" t="s">
        <v>30</v>
      </c>
      <c r="G25" s="24"/>
      <c r="H25" s="24"/>
      <c r="I25" s="24"/>
      <c r="J25" s="24"/>
      <c r="K25" s="24"/>
      <c r="L25" s="24"/>
      <c r="M25" s="24"/>
      <c r="N25" s="24"/>
      <c r="R25" s="25">
        <v>250</v>
      </c>
      <c r="S25" s="25"/>
      <c r="T25" s="25"/>
      <c r="V25" s="20">
        <v>204010.66</v>
      </c>
      <c r="W25" s="20"/>
      <c r="X25" s="20"/>
    </row>
    <row r="26" spans="1:24" ht="10.95" customHeight="1" x14ac:dyDescent="0.25">
      <c r="A26" s="7">
        <v>45724</v>
      </c>
      <c r="F26" s="24" t="s">
        <v>31</v>
      </c>
      <c r="G26" s="24"/>
      <c r="H26" s="24"/>
      <c r="I26" s="24"/>
      <c r="J26" s="24"/>
      <c r="K26" s="24"/>
      <c r="L26" s="24"/>
      <c r="M26" s="24"/>
      <c r="N26" s="24"/>
      <c r="R26" s="25">
        <v>245.3</v>
      </c>
      <c r="S26" s="25"/>
      <c r="T26" s="25"/>
      <c r="V26" s="20">
        <v>203765.36</v>
      </c>
      <c r="W26" s="20"/>
      <c r="X26" s="20"/>
    </row>
    <row r="27" spans="1:24" ht="10.95" customHeight="1" x14ac:dyDescent="0.25">
      <c r="A27" s="7">
        <v>45724</v>
      </c>
      <c r="F27" s="24" t="s">
        <v>32</v>
      </c>
      <c r="G27" s="24"/>
      <c r="H27" s="24"/>
      <c r="I27" s="24"/>
      <c r="J27" s="24"/>
      <c r="K27" s="24"/>
      <c r="L27" s="24"/>
      <c r="M27" s="24"/>
      <c r="N27" s="24"/>
      <c r="R27" s="25">
        <v>2.42</v>
      </c>
      <c r="S27" s="25"/>
      <c r="T27" s="25"/>
      <c r="V27" s="20">
        <v>203762.94</v>
      </c>
      <c r="W27" s="20"/>
      <c r="X27" s="20"/>
    </row>
    <row r="28" spans="1:24" ht="10.95" customHeight="1" x14ac:dyDescent="0.25">
      <c r="A28" s="7">
        <v>45726</v>
      </c>
      <c r="F28" s="24" t="s">
        <v>17</v>
      </c>
      <c r="G28" s="24"/>
      <c r="H28" s="24"/>
      <c r="I28" s="24"/>
      <c r="J28" s="24"/>
      <c r="K28" s="24"/>
      <c r="L28" s="24"/>
      <c r="M28" s="24"/>
      <c r="N28" s="24"/>
      <c r="P28" s="2">
        <v>13014.58</v>
      </c>
      <c r="V28" s="20">
        <v>216777.52</v>
      </c>
      <c r="W28" s="20"/>
      <c r="X28" s="20"/>
    </row>
    <row r="29" spans="1:24" ht="10.95" customHeight="1" x14ac:dyDescent="0.25">
      <c r="A29" s="7">
        <v>45726</v>
      </c>
      <c r="F29" s="24" t="s">
        <v>33</v>
      </c>
      <c r="G29" s="24"/>
      <c r="H29" s="24"/>
      <c r="I29" s="24"/>
      <c r="J29" s="24"/>
      <c r="K29" s="24"/>
      <c r="L29" s="24"/>
      <c r="M29" s="24"/>
      <c r="N29" s="24"/>
      <c r="R29" s="25">
        <v>296.69</v>
      </c>
      <c r="S29" s="25"/>
      <c r="T29" s="25"/>
      <c r="V29" s="20">
        <v>216480.83</v>
      </c>
      <c r="W29" s="20"/>
      <c r="X29" s="20"/>
    </row>
    <row r="30" spans="1:24" ht="10.95" customHeight="1" x14ac:dyDescent="0.25">
      <c r="A30" s="7">
        <v>45727</v>
      </c>
      <c r="F30" s="24" t="s">
        <v>17</v>
      </c>
      <c r="G30" s="24"/>
      <c r="H30" s="24"/>
      <c r="I30" s="24"/>
      <c r="J30" s="24"/>
      <c r="K30" s="24"/>
      <c r="L30" s="24"/>
      <c r="M30" s="24"/>
      <c r="N30" s="24"/>
      <c r="P30" s="2">
        <v>12557.65</v>
      </c>
      <c r="V30" s="20">
        <v>229038.47999999998</v>
      </c>
      <c r="W30" s="20"/>
      <c r="X30" s="20"/>
    </row>
    <row r="31" spans="1:24" ht="10.95" customHeight="1" x14ac:dyDescent="0.25">
      <c r="A31" s="7">
        <v>45728</v>
      </c>
      <c r="F31" s="24" t="s">
        <v>17</v>
      </c>
      <c r="G31" s="24"/>
      <c r="H31" s="24"/>
      <c r="I31" s="24"/>
      <c r="J31" s="24"/>
      <c r="K31" s="24"/>
      <c r="L31" s="24"/>
      <c r="M31" s="24"/>
      <c r="N31" s="24"/>
      <c r="P31" s="2">
        <v>10688.31</v>
      </c>
      <c r="V31" s="20">
        <v>239726.78999999998</v>
      </c>
      <c r="W31" s="20"/>
      <c r="X31" s="20"/>
    </row>
    <row r="32" spans="1:24" ht="10.95" customHeight="1" x14ac:dyDescent="0.25">
      <c r="A32" s="7">
        <v>45729</v>
      </c>
      <c r="F32" s="24" t="s">
        <v>17</v>
      </c>
      <c r="G32" s="24"/>
      <c r="H32" s="24"/>
      <c r="I32" s="24"/>
      <c r="J32" s="24"/>
      <c r="K32" s="24"/>
      <c r="L32" s="24"/>
      <c r="M32" s="24"/>
      <c r="N32" s="24"/>
      <c r="P32" s="2">
        <v>29350.05</v>
      </c>
      <c r="V32" s="20">
        <v>269076.83999999997</v>
      </c>
      <c r="W32" s="20"/>
      <c r="X32" s="20"/>
    </row>
    <row r="33" spans="1:24" ht="10.95" customHeight="1" x14ac:dyDescent="0.25">
      <c r="A33" s="7">
        <v>45729</v>
      </c>
      <c r="F33" s="24" t="s">
        <v>34</v>
      </c>
      <c r="G33" s="24"/>
      <c r="H33" s="24"/>
      <c r="I33" s="24"/>
      <c r="J33" s="24"/>
      <c r="K33" s="24"/>
      <c r="L33" s="24"/>
      <c r="M33" s="24"/>
      <c r="N33" s="24"/>
      <c r="R33" s="25">
        <v>76</v>
      </c>
      <c r="S33" s="25"/>
      <c r="T33" s="25"/>
      <c r="V33" s="20">
        <v>269000.83999999997</v>
      </c>
      <c r="W33" s="20"/>
      <c r="X33" s="20"/>
    </row>
    <row r="34" spans="1:24" ht="10.95" customHeight="1" x14ac:dyDescent="0.25">
      <c r="A34" s="7">
        <v>45729</v>
      </c>
      <c r="F34" s="24" t="s">
        <v>35</v>
      </c>
      <c r="G34" s="24"/>
      <c r="H34" s="24"/>
      <c r="I34" s="24"/>
      <c r="J34" s="24"/>
      <c r="K34" s="24"/>
      <c r="L34" s="24"/>
      <c r="M34" s="24"/>
      <c r="N34" s="24"/>
      <c r="R34" s="25">
        <v>1</v>
      </c>
      <c r="S34" s="25"/>
      <c r="T34" s="25"/>
      <c r="V34" s="20">
        <v>268999.83999999997</v>
      </c>
      <c r="W34" s="20"/>
      <c r="X34" s="20"/>
    </row>
    <row r="35" spans="1:24" ht="10.95" customHeight="1" x14ac:dyDescent="0.25">
      <c r="A35" s="7">
        <v>45729</v>
      </c>
      <c r="F35" s="24" t="s">
        <v>36</v>
      </c>
      <c r="G35" s="24"/>
      <c r="H35" s="24"/>
      <c r="I35" s="24"/>
      <c r="J35" s="24"/>
      <c r="K35" s="24"/>
      <c r="L35" s="24"/>
      <c r="M35" s="24"/>
      <c r="N35" s="24"/>
      <c r="R35" s="25">
        <v>90</v>
      </c>
      <c r="S35" s="25"/>
      <c r="T35" s="25"/>
      <c r="V35" s="20">
        <v>268909.83999999997</v>
      </c>
      <c r="W35" s="20"/>
      <c r="X35" s="20"/>
    </row>
    <row r="36" spans="1:24" ht="10.95" customHeight="1" x14ac:dyDescent="0.25">
      <c r="A36" s="7">
        <v>45730</v>
      </c>
      <c r="F36" s="24" t="s">
        <v>17</v>
      </c>
      <c r="G36" s="24"/>
      <c r="H36" s="24"/>
      <c r="I36" s="24"/>
      <c r="J36" s="24"/>
      <c r="K36" s="24"/>
      <c r="L36" s="24"/>
      <c r="M36" s="24"/>
      <c r="N36" s="24"/>
      <c r="P36" s="2">
        <v>2801.74</v>
      </c>
      <c r="V36" s="20">
        <v>271711.58</v>
      </c>
      <c r="W36" s="20"/>
      <c r="X36" s="20"/>
    </row>
    <row r="37" spans="1:24" ht="10.95" customHeight="1" x14ac:dyDescent="0.25">
      <c r="A37" s="7">
        <v>45730</v>
      </c>
      <c r="F37" s="24" t="s">
        <v>37</v>
      </c>
      <c r="G37" s="24"/>
      <c r="H37" s="24"/>
      <c r="I37" s="24"/>
      <c r="J37" s="24"/>
      <c r="K37" s="24"/>
      <c r="L37" s="24"/>
      <c r="M37" s="24"/>
      <c r="N37" s="24"/>
      <c r="R37" s="25">
        <v>1024</v>
      </c>
      <c r="S37" s="25"/>
      <c r="T37" s="25"/>
      <c r="V37" s="20">
        <v>270687.58</v>
      </c>
      <c r="W37" s="20"/>
      <c r="X37" s="20"/>
    </row>
    <row r="38" spans="1:24" ht="10.95" customHeight="1" x14ac:dyDescent="0.25">
      <c r="A38" s="7">
        <v>45730</v>
      </c>
      <c r="F38" s="24" t="s">
        <v>38</v>
      </c>
      <c r="G38" s="24"/>
      <c r="H38" s="24"/>
      <c r="I38" s="24"/>
      <c r="J38" s="24"/>
      <c r="K38" s="24"/>
      <c r="L38" s="24"/>
      <c r="M38" s="24"/>
      <c r="N38" s="24"/>
      <c r="R38" s="25">
        <v>113.68</v>
      </c>
      <c r="S38" s="25"/>
      <c r="T38" s="25"/>
      <c r="V38" s="20">
        <v>270573.90000000002</v>
      </c>
      <c r="W38" s="20"/>
      <c r="X38" s="20"/>
    </row>
    <row r="39" spans="1:24" ht="10.95" customHeight="1" x14ac:dyDescent="0.25">
      <c r="A39" s="7">
        <v>45730</v>
      </c>
      <c r="F39" s="24" t="s">
        <v>39</v>
      </c>
      <c r="G39" s="24"/>
      <c r="H39" s="24"/>
      <c r="I39" s="24"/>
      <c r="J39" s="24"/>
      <c r="K39" s="24"/>
      <c r="L39" s="24"/>
      <c r="M39" s="24"/>
      <c r="N39" s="24"/>
      <c r="R39" s="25">
        <v>1920.83</v>
      </c>
      <c r="S39" s="25"/>
      <c r="T39" s="25"/>
      <c r="V39" s="20">
        <v>268653.07</v>
      </c>
      <c r="W39" s="20"/>
      <c r="X39" s="20"/>
    </row>
    <row r="40" spans="1:24" ht="10.95" customHeight="1" x14ac:dyDescent="0.25">
      <c r="A40" s="7">
        <v>45730</v>
      </c>
      <c r="F40" s="24" t="s">
        <v>40</v>
      </c>
      <c r="G40" s="24"/>
      <c r="H40" s="24"/>
      <c r="I40" s="24"/>
      <c r="J40" s="24"/>
      <c r="K40" s="24"/>
      <c r="L40" s="24"/>
      <c r="M40" s="24"/>
      <c r="N40" s="24"/>
      <c r="R40" s="25">
        <v>1452.61</v>
      </c>
      <c r="S40" s="25"/>
      <c r="T40" s="25"/>
      <c r="V40" s="20">
        <v>267200.45999999996</v>
      </c>
      <c r="W40" s="20"/>
      <c r="X40" s="20"/>
    </row>
    <row r="41" spans="1:24" ht="10.95" customHeight="1" x14ac:dyDescent="0.25">
      <c r="A41" s="7">
        <v>45730</v>
      </c>
      <c r="F41" s="24" t="s">
        <v>41</v>
      </c>
      <c r="G41" s="24"/>
      <c r="H41" s="24"/>
      <c r="I41" s="24"/>
      <c r="J41" s="24"/>
      <c r="K41" s="24"/>
      <c r="L41" s="24"/>
      <c r="M41" s="24"/>
      <c r="N41" s="24"/>
      <c r="R41" s="25">
        <v>1205.99</v>
      </c>
      <c r="S41" s="25"/>
      <c r="T41" s="25"/>
      <c r="V41" s="20">
        <v>265994.46999999997</v>
      </c>
      <c r="W41" s="20"/>
      <c r="X41" s="20"/>
    </row>
    <row r="42" spans="1:24" ht="10.95" customHeight="1" x14ac:dyDescent="0.25">
      <c r="A42" s="7">
        <v>45730</v>
      </c>
      <c r="F42" s="24" t="s">
        <v>42</v>
      </c>
      <c r="G42" s="24"/>
      <c r="H42" s="24"/>
      <c r="I42" s="24"/>
      <c r="J42" s="24"/>
      <c r="K42" s="24"/>
      <c r="L42" s="24"/>
      <c r="M42" s="24"/>
      <c r="N42" s="24"/>
      <c r="R42" s="25">
        <v>922.58</v>
      </c>
      <c r="S42" s="25"/>
      <c r="T42" s="25"/>
      <c r="V42" s="20">
        <v>265071.89</v>
      </c>
      <c r="W42" s="20"/>
      <c r="X42" s="20"/>
    </row>
    <row r="43" spans="1:24" ht="10.95" customHeight="1" x14ac:dyDescent="0.25">
      <c r="A43" s="7">
        <v>45730</v>
      </c>
      <c r="F43" s="24" t="s">
        <v>43</v>
      </c>
      <c r="G43" s="24"/>
      <c r="H43" s="24"/>
      <c r="I43" s="24"/>
      <c r="J43" s="24"/>
      <c r="K43" s="24"/>
      <c r="L43" s="24"/>
      <c r="M43" s="24"/>
      <c r="N43" s="24"/>
      <c r="R43" s="25">
        <v>126</v>
      </c>
      <c r="S43" s="25"/>
      <c r="T43" s="25"/>
      <c r="V43" s="20">
        <v>264945.89</v>
      </c>
      <c r="W43" s="20"/>
      <c r="X43" s="20"/>
    </row>
    <row r="44" spans="1:24" ht="10.95" customHeight="1" x14ac:dyDescent="0.25">
      <c r="A44" s="7">
        <v>45730</v>
      </c>
      <c r="F44" s="24" t="s">
        <v>44</v>
      </c>
      <c r="G44" s="24"/>
      <c r="H44" s="24"/>
      <c r="I44" s="24"/>
      <c r="J44" s="24"/>
      <c r="K44" s="24"/>
      <c r="L44" s="24"/>
      <c r="M44" s="24"/>
      <c r="N44" s="24"/>
      <c r="R44" s="25">
        <v>1351.84</v>
      </c>
      <c r="S44" s="25"/>
      <c r="T44" s="25"/>
      <c r="V44" s="20">
        <v>263594.05</v>
      </c>
      <c r="W44" s="20"/>
      <c r="X44" s="20"/>
    </row>
    <row r="45" spans="1:24" ht="10.95" customHeight="1" x14ac:dyDescent="0.25">
      <c r="A45" s="7">
        <v>45730</v>
      </c>
      <c r="F45" s="24" t="s">
        <v>45</v>
      </c>
      <c r="G45" s="24"/>
      <c r="H45" s="24"/>
      <c r="I45" s="24"/>
      <c r="J45" s="24"/>
      <c r="K45" s="24"/>
      <c r="L45" s="24"/>
      <c r="M45" s="24"/>
      <c r="N45" s="24"/>
      <c r="R45" s="25">
        <v>109.9</v>
      </c>
      <c r="S45" s="25"/>
      <c r="T45" s="25"/>
      <c r="V45" s="20">
        <v>263484.15000000002</v>
      </c>
      <c r="W45" s="20"/>
      <c r="X45" s="20"/>
    </row>
    <row r="46" spans="1:24" ht="10.95" customHeight="1" x14ac:dyDescent="0.25">
      <c r="A46" s="7">
        <v>45730</v>
      </c>
      <c r="F46" s="24" t="s">
        <v>46</v>
      </c>
      <c r="G46" s="24"/>
      <c r="H46" s="24"/>
      <c r="I46" s="24"/>
      <c r="J46" s="24"/>
      <c r="K46" s="24"/>
      <c r="L46" s="24"/>
      <c r="M46" s="24"/>
      <c r="N46" s="24"/>
      <c r="R46" s="25">
        <v>179.9</v>
      </c>
      <c r="S46" s="25"/>
      <c r="T46" s="25"/>
      <c r="V46" s="20">
        <v>263304.25</v>
      </c>
      <c r="W46" s="20"/>
      <c r="X46" s="20"/>
    </row>
    <row r="47" spans="1:24" ht="10.95" customHeight="1" x14ac:dyDescent="0.25">
      <c r="A47" s="7">
        <v>45730</v>
      </c>
      <c r="F47" s="24" t="s">
        <v>47</v>
      </c>
      <c r="G47" s="24"/>
      <c r="H47" s="24"/>
      <c r="I47" s="24"/>
      <c r="J47" s="24"/>
      <c r="K47" s="24"/>
      <c r="L47" s="24"/>
      <c r="M47" s="24"/>
      <c r="N47" s="24"/>
      <c r="R47" s="25">
        <v>196.23</v>
      </c>
      <c r="S47" s="25"/>
      <c r="T47" s="25"/>
      <c r="V47" s="20">
        <v>263108.02</v>
      </c>
      <c r="W47" s="20"/>
      <c r="X47" s="20"/>
    </row>
    <row r="48" spans="1:24" ht="10.95" customHeight="1" x14ac:dyDescent="0.25">
      <c r="A48" s="7">
        <v>45730</v>
      </c>
      <c r="F48" s="24" t="s">
        <v>48</v>
      </c>
      <c r="G48" s="24"/>
      <c r="H48" s="24"/>
      <c r="I48" s="24"/>
      <c r="J48" s="24"/>
      <c r="K48" s="24"/>
      <c r="L48" s="24"/>
      <c r="M48" s="24"/>
      <c r="N48" s="24"/>
      <c r="R48" s="25">
        <v>1300</v>
      </c>
      <c r="S48" s="25"/>
      <c r="T48" s="25"/>
      <c r="V48" s="20">
        <v>261808.02</v>
      </c>
      <c r="W48" s="20"/>
      <c r="X48" s="20"/>
    </row>
    <row r="49" spans="1:24" ht="10.95" customHeight="1" x14ac:dyDescent="0.25">
      <c r="A49" s="7">
        <v>45730</v>
      </c>
      <c r="F49" s="24" t="s">
        <v>49</v>
      </c>
      <c r="G49" s="24"/>
      <c r="H49" s="24"/>
      <c r="I49" s="24"/>
      <c r="J49" s="24"/>
      <c r="K49" s="24"/>
      <c r="L49" s="24"/>
      <c r="M49" s="24"/>
      <c r="N49" s="24"/>
      <c r="R49" s="25">
        <v>80</v>
      </c>
      <c r="S49" s="25"/>
      <c r="T49" s="25"/>
      <c r="V49" s="20">
        <v>261728.02</v>
      </c>
      <c r="W49" s="20"/>
      <c r="X49" s="20"/>
    </row>
    <row r="50" spans="1:24" ht="10.95" customHeight="1" x14ac:dyDescent="0.25">
      <c r="A50" s="7">
        <v>45733</v>
      </c>
      <c r="F50" s="24" t="s">
        <v>17</v>
      </c>
      <c r="G50" s="24"/>
      <c r="H50" s="24"/>
      <c r="I50" s="24"/>
      <c r="J50" s="24"/>
      <c r="K50" s="24"/>
      <c r="L50" s="24"/>
      <c r="M50" s="24"/>
      <c r="N50" s="24"/>
      <c r="P50" s="2">
        <v>12008.48</v>
      </c>
      <c r="V50" s="20">
        <v>273736.5</v>
      </c>
      <c r="W50" s="20"/>
      <c r="X50" s="20"/>
    </row>
    <row r="51" spans="1:24" ht="10.95" customHeight="1" x14ac:dyDescent="0.25">
      <c r="A51" s="7">
        <v>45733</v>
      </c>
      <c r="F51" s="24" t="s">
        <v>50</v>
      </c>
      <c r="G51" s="24"/>
      <c r="H51" s="24"/>
      <c r="I51" s="24"/>
      <c r="J51" s="24"/>
      <c r="K51" s="24"/>
      <c r="L51" s="24"/>
      <c r="M51" s="24"/>
      <c r="N51" s="24"/>
      <c r="R51" s="25">
        <v>216</v>
      </c>
      <c r="S51" s="25"/>
      <c r="T51" s="25"/>
      <c r="V51" s="20">
        <v>273520.5</v>
      </c>
      <c r="W51" s="20"/>
      <c r="X51" s="20"/>
    </row>
    <row r="52" spans="1:24" ht="10.95" customHeight="1" x14ac:dyDescent="0.25">
      <c r="A52" s="7">
        <v>45733</v>
      </c>
      <c r="F52" s="24" t="s">
        <v>51</v>
      </c>
      <c r="G52" s="24"/>
      <c r="H52" s="24"/>
      <c r="I52" s="24"/>
      <c r="J52" s="24"/>
      <c r="K52" s="24"/>
      <c r="L52" s="24"/>
      <c r="M52" s="24"/>
      <c r="N52" s="24"/>
      <c r="R52" s="25">
        <v>210.45</v>
      </c>
      <c r="S52" s="25"/>
      <c r="T52" s="25"/>
      <c r="V52" s="20">
        <v>273310.05</v>
      </c>
      <c r="W52" s="20"/>
      <c r="X52" s="20"/>
    </row>
    <row r="53" spans="1:24" ht="10.95" customHeight="1" x14ac:dyDescent="0.25">
      <c r="A53" s="7">
        <v>45733</v>
      </c>
      <c r="F53" s="24" t="s">
        <v>52</v>
      </c>
      <c r="G53" s="24"/>
      <c r="H53" s="24"/>
      <c r="I53" s="24"/>
      <c r="J53" s="24"/>
      <c r="K53" s="24"/>
      <c r="L53" s="24"/>
      <c r="M53" s="24"/>
      <c r="N53" s="24"/>
      <c r="R53" s="25">
        <v>48</v>
      </c>
      <c r="S53" s="25"/>
      <c r="T53" s="25"/>
      <c r="V53" s="20">
        <v>273262.05</v>
      </c>
      <c r="W53" s="20"/>
      <c r="X53" s="20"/>
    </row>
    <row r="54" spans="1:24" ht="10.95" customHeight="1" x14ac:dyDescent="0.25">
      <c r="A54" s="7">
        <v>45733</v>
      </c>
      <c r="F54" s="24" t="s">
        <v>53</v>
      </c>
      <c r="G54" s="24"/>
      <c r="H54" s="24"/>
      <c r="I54" s="24"/>
      <c r="J54" s="24"/>
      <c r="K54" s="24"/>
      <c r="L54" s="24"/>
      <c r="M54" s="24"/>
      <c r="N54" s="24"/>
      <c r="R54" s="25">
        <v>900</v>
      </c>
      <c r="S54" s="25"/>
      <c r="T54" s="25"/>
      <c r="V54" s="20">
        <v>272362.05</v>
      </c>
      <c r="W54" s="20"/>
      <c r="X54" s="20"/>
    </row>
    <row r="55" spans="1:24" ht="10.95" customHeight="1" x14ac:dyDescent="0.25">
      <c r="A55" s="7">
        <v>45733</v>
      </c>
      <c r="F55" s="24" t="s">
        <v>54</v>
      </c>
      <c r="G55" s="24"/>
      <c r="H55" s="24"/>
      <c r="I55" s="24"/>
      <c r="J55" s="24"/>
      <c r="K55" s="24"/>
      <c r="L55" s="24"/>
      <c r="M55" s="24"/>
      <c r="N55" s="24"/>
      <c r="R55" s="25">
        <v>500</v>
      </c>
      <c r="S55" s="25"/>
      <c r="T55" s="25"/>
      <c r="V55" s="20">
        <v>271862.05</v>
      </c>
      <c r="W55" s="20"/>
      <c r="X55" s="20"/>
    </row>
    <row r="56" spans="1:24" ht="10.95" customHeight="1" x14ac:dyDescent="0.25">
      <c r="A56" s="7">
        <v>45734</v>
      </c>
      <c r="F56" s="24" t="s">
        <v>17</v>
      </c>
      <c r="G56" s="24"/>
      <c r="H56" s="24"/>
      <c r="I56" s="24"/>
      <c r="J56" s="24"/>
      <c r="K56" s="24"/>
      <c r="L56" s="24"/>
      <c r="M56" s="24"/>
      <c r="N56" s="24"/>
      <c r="P56" s="2">
        <v>23054.5</v>
      </c>
      <c r="V56" s="20">
        <v>294916.55</v>
      </c>
      <c r="W56" s="20"/>
      <c r="X56" s="20"/>
    </row>
    <row r="57" spans="1:24" ht="10.95" customHeight="1" x14ac:dyDescent="0.25">
      <c r="A57" s="7">
        <v>45735</v>
      </c>
      <c r="F57" s="24" t="s">
        <v>17</v>
      </c>
      <c r="G57" s="24"/>
      <c r="H57" s="24"/>
      <c r="I57" s="24"/>
      <c r="J57" s="24"/>
      <c r="K57" s="24"/>
      <c r="L57" s="24"/>
      <c r="M57" s="24"/>
      <c r="N57" s="24"/>
      <c r="P57" s="2">
        <v>5149.93</v>
      </c>
      <c r="V57" s="20">
        <v>300066.48</v>
      </c>
      <c r="W57" s="20"/>
      <c r="X57" s="20"/>
    </row>
    <row r="58" spans="1:24" ht="10.95" customHeight="1" x14ac:dyDescent="0.25">
      <c r="A58" s="7">
        <v>45735</v>
      </c>
      <c r="F58" s="24" t="s">
        <v>55</v>
      </c>
      <c r="G58" s="24"/>
      <c r="H58" s="24"/>
      <c r="I58" s="24"/>
      <c r="J58" s="24"/>
      <c r="K58" s="24"/>
      <c r="L58" s="24"/>
      <c r="M58" s="24"/>
      <c r="N58" s="24"/>
      <c r="R58" s="25">
        <v>600</v>
      </c>
      <c r="S58" s="25"/>
      <c r="T58" s="25"/>
      <c r="V58" s="20">
        <v>299466.48</v>
      </c>
      <c r="W58" s="20"/>
      <c r="X58" s="20"/>
    </row>
    <row r="59" spans="1:24" ht="10.95" customHeight="1" x14ac:dyDescent="0.25">
      <c r="A59" s="7">
        <v>45735</v>
      </c>
      <c r="F59" s="24" t="s">
        <v>56</v>
      </c>
      <c r="G59" s="24"/>
      <c r="H59" s="24"/>
      <c r="I59" s="24"/>
      <c r="J59" s="24"/>
      <c r="K59" s="24"/>
      <c r="L59" s="24"/>
      <c r="M59" s="24"/>
      <c r="N59" s="24"/>
      <c r="R59" s="25">
        <v>5.94</v>
      </c>
      <c r="S59" s="25"/>
      <c r="T59" s="25"/>
      <c r="V59" s="20">
        <v>299460.53999999998</v>
      </c>
      <c r="W59" s="20"/>
      <c r="X59" s="20"/>
    </row>
    <row r="60" spans="1:24" ht="10.95" customHeight="1" x14ac:dyDescent="0.25">
      <c r="A60" s="7">
        <v>45736</v>
      </c>
      <c r="F60" s="24" t="s">
        <v>17</v>
      </c>
      <c r="G60" s="24"/>
      <c r="H60" s="24"/>
      <c r="I60" s="24"/>
      <c r="J60" s="24"/>
      <c r="K60" s="24"/>
      <c r="L60" s="24"/>
      <c r="M60" s="24"/>
      <c r="N60" s="24"/>
      <c r="P60" s="2">
        <v>1834.39</v>
      </c>
      <c r="V60" s="20">
        <v>301294.93</v>
      </c>
      <c r="W60" s="20"/>
      <c r="X60" s="20"/>
    </row>
    <row r="61" spans="1:24" ht="10.95" customHeight="1" x14ac:dyDescent="0.25">
      <c r="A61" s="7">
        <v>45737</v>
      </c>
      <c r="F61" s="24" t="s">
        <v>17</v>
      </c>
      <c r="G61" s="24"/>
      <c r="H61" s="24"/>
      <c r="I61" s="24"/>
      <c r="J61" s="24"/>
      <c r="K61" s="24"/>
      <c r="L61" s="24"/>
      <c r="M61" s="24"/>
      <c r="N61" s="24"/>
      <c r="P61" s="2">
        <v>7204.04</v>
      </c>
      <c r="V61" s="20">
        <v>308498.96999999997</v>
      </c>
      <c r="W61" s="20"/>
      <c r="X61" s="20"/>
    </row>
    <row r="62" spans="1:24" ht="10.95" customHeight="1" x14ac:dyDescent="0.25">
      <c r="A62" s="7">
        <v>45737</v>
      </c>
      <c r="F62" s="24" t="s">
        <v>57</v>
      </c>
      <c r="G62" s="24"/>
      <c r="H62" s="24"/>
      <c r="I62" s="24"/>
      <c r="J62" s="24"/>
      <c r="K62" s="24"/>
      <c r="L62" s="24"/>
      <c r="M62" s="24"/>
      <c r="N62" s="24"/>
      <c r="R62" s="25">
        <v>1.28</v>
      </c>
      <c r="S62" s="25"/>
      <c r="T62" s="25"/>
      <c r="V62" s="20">
        <v>308497.68999999994</v>
      </c>
      <c r="W62" s="20"/>
      <c r="X62" s="20"/>
    </row>
    <row r="63" spans="1:24" ht="10.95" customHeight="1" x14ac:dyDescent="0.25">
      <c r="A63" s="7">
        <v>45737</v>
      </c>
      <c r="F63" s="24" t="s">
        <v>58</v>
      </c>
      <c r="G63" s="24"/>
      <c r="H63" s="24"/>
      <c r="I63" s="24"/>
      <c r="J63" s="24"/>
      <c r="K63" s="24"/>
      <c r="L63" s="24"/>
      <c r="M63" s="24"/>
      <c r="N63" s="24"/>
      <c r="R63" s="25">
        <v>130</v>
      </c>
      <c r="S63" s="25"/>
      <c r="T63" s="25"/>
      <c r="V63" s="20">
        <v>308367.68999999994</v>
      </c>
      <c r="W63" s="20"/>
      <c r="X63" s="20"/>
    </row>
    <row r="64" spans="1:24" ht="10.95" customHeight="1" x14ac:dyDescent="0.25">
      <c r="A64" s="7">
        <v>45738</v>
      </c>
      <c r="F64" s="24" t="s">
        <v>59</v>
      </c>
      <c r="G64" s="24"/>
      <c r="H64" s="24"/>
      <c r="I64" s="24"/>
      <c r="J64" s="24"/>
      <c r="K64" s="24"/>
      <c r="L64" s="24"/>
      <c r="M64" s="24"/>
      <c r="N64" s="24"/>
      <c r="R64" s="25">
        <v>850</v>
      </c>
      <c r="S64" s="25"/>
      <c r="T64" s="25"/>
      <c r="V64" s="20">
        <v>307517.68999999994</v>
      </c>
      <c r="W64" s="20"/>
      <c r="X64" s="20"/>
    </row>
    <row r="65" spans="1:24" ht="10.95" customHeight="1" x14ac:dyDescent="0.25">
      <c r="A65" s="7">
        <v>45738</v>
      </c>
      <c r="F65" s="24" t="s">
        <v>60</v>
      </c>
      <c r="G65" s="24"/>
      <c r="H65" s="24"/>
      <c r="I65" s="24"/>
      <c r="J65" s="24"/>
      <c r="K65" s="24"/>
      <c r="L65" s="24"/>
      <c r="M65" s="24"/>
      <c r="N65" s="24"/>
      <c r="R65" s="25">
        <v>8.41</v>
      </c>
      <c r="S65" s="25"/>
      <c r="T65" s="25"/>
      <c r="V65" s="20">
        <v>307509.28000000003</v>
      </c>
      <c r="W65" s="20"/>
      <c r="X65" s="20"/>
    </row>
    <row r="66" spans="1:24" ht="10.95" customHeight="1" x14ac:dyDescent="0.25">
      <c r="A66" s="7">
        <v>45740</v>
      </c>
      <c r="F66" s="24" t="s">
        <v>17</v>
      </c>
      <c r="G66" s="24"/>
      <c r="H66" s="24"/>
      <c r="I66" s="24"/>
      <c r="J66" s="24"/>
      <c r="K66" s="24"/>
      <c r="L66" s="24"/>
      <c r="M66" s="24"/>
      <c r="N66" s="24"/>
      <c r="P66" s="2">
        <v>2369.5100000000002</v>
      </c>
      <c r="V66" s="20">
        <v>309878.78999999998</v>
      </c>
      <c r="W66" s="20"/>
      <c r="X66" s="20"/>
    </row>
    <row r="67" spans="1:24" ht="10.95" customHeight="1" x14ac:dyDescent="0.25">
      <c r="A67" s="7">
        <v>45740</v>
      </c>
      <c r="F67" s="24" t="s">
        <v>61</v>
      </c>
      <c r="G67" s="24"/>
      <c r="H67" s="24"/>
      <c r="I67" s="24"/>
      <c r="J67" s="24"/>
      <c r="K67" s="24"/>
      <c r="L67" s="24"/>
      <c r="M67" s="24"/>
      <c r="N67" s="24"/>
      <c r="R67" s="25">
        <v>38</v>
      </c>
      <c r="S67" s="25"/>
      <c r="T67" s="25"/>
      <c r="V67" s="20">
        <v>309840.78999999998</v>
      </c>
      <c r="W67" s="20"/>
      <c r="X67" s="20"/>
    </row>
    <row r="68" spans="1:24" ht="10.95" customHeight="1" x14ac:dyDescent="0.25">
      <c r="A68" s="7">
        <v>45740</v>
      </c>
      <c r="F68" s="24" t="s">
        <v>62</v>
      </c>
      <c r="G68" s="24"/>
      <c r="H68" s="24"/>
      <c r="I68" s="24"/>
      <c r="J68" s="24"/>
      <c r="K68" s="24"/>
      <c r="L68" s="24"/>
      <c r="M68" s="24"/>
      <c r="N68" s="24"/>
      <c r="R68" s="25">
        <v>1500</v>
      </c>
      <c r="S68" s="25"/>
      <c r="T68" s="25"/>
      <c r="V68" s="20">
        <v>308340.78999999998</v>
      </c>
      <c r="W68" s="20"/>
      <c r="X68" s="20"/>
    </row>
    <row r="69" spans="1:24" ht="10.95" customHeight="1" x14ac:dyDescent="0.25">
      <c r="A69" s="7">
        <v>45740</v>
      </c>
      <c r="F69" s="24" t="s">
        <v>63</v>
      </c>
      <c r="G69" s="24"/>
      <c r="H69" s="24"/>
      <c r="I69" s="24"/>
      <c r="J69" s="24"/>
      <c r="K69" s="24"/>
      <c r="L69" s="24"/>
      <c r="M69" s="24"/>
      <c r="N69" s="24"/>
      <c r="R69" s="25">
        <v>10</v>
      </c>
      <c r="S69" s="25"/>
      <c r="T69" s="25"/>
      <c r="V69" s="20">
        <v>308330.78999999998</v>
      </c>
      <c r="W69" s="20"/>
      <c r="X69" s="20"/>
    </row>
    <row r="70" spans="1:24" ht="10.95" customHeight="1" x14ac:dyDescent="0.25">
      <c r="A70" s="7">
        <v>45740</v>
      </c>
      <c r="F70" s="24" t="s">
        <v>64</v>
      </c>
      <c r="G70" s="24"/>
      <c r="H70" s="24"/>
      <c r="I70" s="24"/>
      <c r="J70" s="24"/>
      <c r="K70" s="24"/>
      <c r="L70" s="24"/>
      <c r="M70" s="24"/>
      <c r="N70" s="24"/>
      <c r="R70" s="25">
        <v>10</v>
      </c>
      <c r="S70" s="25"/>
      <c r="T70" s="25"/>
      <c r="V70" s="20">
        <v>308320.78999999998</v>
      </c>
      <c r="W70" s="20"/>
      <c r="X70" s="20"/>
    </row>
    <row r="71" spans="1:24" ht="10.95" customHeight="1" x14ac:dyDescent="0.25">
      <c r="A71" s="7">
        <v>45740</v>
      </c>
      <c r="F71" s="24" t="s">
        <v>65</v>
      </c>
      <c r="G71" s="24"/>
      <c r="H71" s="24"/>
      <c r="I71" s="24"/>
      <c r="J71" s="24"/>
      <c r="K71" s="24"/>
      <c r="L71" s="24"/>
      <c r="M71" s="24"/>
      <c r="N71" s="24"/>
      <c r="R71" s="25">
        <v>1850</v>
      </c>
      <c r="S71" s="25"/>
      <c r="T71" s="25"/>
      <c r="V71" s="20">
        <v>306470.78999999998</v>
      </c>
      <c r="W71" s="20"/>
      <c r="X71" s="20"/>
    </row>
    <row r="72" spans="1:24" ht="10.95" customHeight="1" x14ac:dyDescent="0.25">
      <c r="A72" s="7">
        <v>45741</v>
      </c>
      <c r="F72" s="24" t="s">
        <v>17</v>
      </c>
      <c r="G72" s="24"/>
      <c r="H72" s="24"/>
      <c r="I72" s="24"/>
      <c r="J72" s="24"/>
      <c r="K72" s="24"/>
      <c r="L72" s="24"/>
      <c r="M72" s="24"/>
      <c r="N72" s="24"/>
      <c r="P72" s="2">
        <v>8002.26</v>
      </c>
      <c r="V72" s="20">
        <v>314473.04999999993</v>
      </c>
      <c r="W72" s="20"/>
      <c r="X72" s="20"/>
    </row>
    <row r="73" spans="1:24" ht="10.95" customHeight="1" x14ac:dyDescent="0.25">
      <c r="A73" s="7">
        <v>45741</v>
      </c>
      <c r="F73" s="24" t="s">
        <v>66</v>
      </c>
      <c r="G73" s="24"/>
      <c r="H73" s="24"/>
      <c r="I73" s="24"/>
      <c r="J73" s="24"/>
      <c r="K73" s="24"/>
      <c r="L73" s="24"/>
      <c r="M73" s="24"/>
      <c r="N73" s="24"/>
      <c r="R73" s="25">
        <v>174.9</v>
      </c>
      <c r="S73" s="25"/>
      <c r="T73" s="25"/>
      <c r="V73" s="20">
        <v>314298.14999999997</v>
      </c>
      <c r="W73" s="20"/>
      <c r="X73" s="20"/>
    </row>
    <row r="74" spans="1:24" ht="10.95" customHeight="1" x14ac:dyDescent="0.25">
      <c r="A74" s="7">
        <v>45742</v>
      </c>
      <c r="F74" s="24" t="s">
        <v>17</v>
      </c>
      <c r="G74" s="24"/>
      <c r="H74" s="24"/>
      <c r="I74" s="24"/>
      <c r="J74" s="24"/>
      <c r="K74" s="24"/>
      <c r="L74" s="24"/>
      <c r="M74" s="24"/>
      <c r="N74" s="24"/>
      <c r="P74" s="2">
        <v>4678.84</v>
      </c>
      <c r="V74" s="20">
        <v>318976.99</v>
      </c>
      <c r="W74" s="20"/>
      <c r="X74" s="20"/>
    </row>
    <row r="75" spans="1:24" ht="10.95" customHeight="1" x14ac:dyDescent="0.25">
      <c r="A75" s="7">
        <v>45743</v>
      </c>
      <c r="F75" s="24" t="s">
        <v>17</v>
      </c>
      <c r="G75" s="24"/>
      <c r="H75" s="24"/>
      <c r="I75" s="24"/>
      <c r="J75" s="24"/>
      <c r="K75" s="24"/>
      <c r="L75" s="24"/>
      <c r="M75" s="24"/>
      <c r="N75" s="24"/>
      <c r="P75" s="2">
        <v>4494.97</v>
      </c>
      <c r="V75" s="20">
        <v>323471.95999999996</v>
      </c>
      <c r="W75" s="20"/>
      <c r="X75" s="20"/>
    </row>
    <row r="76" spans="1:24" ht="10.95" customHeight="1" x14ac:dyDescent="0.25">
      <c r="A76" s="7">
        <v>45744</v>
      </c>
      <c r="F76" s="24" t="s">
        <v>17</v>
      </c>
      <c r="G76" s="24"/>
      <c r="H76" s="24"/>
      <c r="I76" s="24"/>
      <c r="J76" s="24"/>
      <c r="K76" s="24"/>
      <c r="L76" s="24"/>
      <c r="M76" s="24"/>
      <c r="N76" s="24"/>
      <c r="P76" s="2">
        <v>4650.76</v>
      </c>
      <c r="V76" s="20">
        <v>328122.71999999997</v>
      </c>
      <c r="W76" s="20"/>
      <c r="X76" s="20"/>
    </row>
    <row r="77" spans="1:24" ht="10.95" customHeight="1" x14ac:dyDescent="0.25">
      <c r="A77" s="7">
        <v>45744</v>
      </c>
      <c r="F77" s="24" t="s">
        <v>67</v>
      </c>
      <c r="G77" s="24"/>
      <c r="H77" s="24"/>
      <c r="I77" s="24"/>
      <c r="J77" s="24"/>
      <c r="K77" s="24"/>
      <c r="L77" s="24"/>
      <c r="M77" s="24"/>
      <c r="N77" s="24"/>
      <c r="R77" s="25">
        <v>2380.41</v>
      </c>
      <c r="S77" s="25"/>
      <c r="T77" s="25"/>
      <c r="V77" s="20">
        <v>325742.30999999994</v>
      </c>
      <c r="W77" s="20"/>
      <c r="X77" s="20"/>
    </row>
    <row r="78" spans="1:24" ht="10.95" customHeight="1" x14ac:dyDescent="0.25">
      <c r="A78" s="7">
        <v>45747</v>
      </c>
      <c r="F78" s="24" t="s">
        <v>17</v>
      </c>
      <c r="G78" s="24"/>
      <c r="H78" s="24"/>
      <c r="I78" s="24"/>
      <c r="J78" s="24"/>
      <c r="K78" s="24"/>
      <c r="L78" s="24"/>
      <c r="M78" s="24"/>
      <c r="N78" s="24"/>
      <c r="P78" s="2">
        <v>2715.93</v>
      </c>
      <c r="V78" s="20">
        <v>328458.23999999993</v>
      </c>
      <c r="W78" s="20"/>
      <c r="X78" s="20"/>
    </row>
    <row r="79" spans="1:24" ht="10.95" customHeight="1" x14ac:dyDescent="0.25">
      <c r="A79" s="7">
        <v>45747</v>
      </c>
      <c r="F79" s="24" t="s">
        <v>68</v>
      </c>
      <c r="G79" s="24"/>
      <c r="H79" s="24"/>
      <c r="I79" s="24"/>
      <c r="J79" s="24"/>
      <c r="K79" s="24"/>
      <c r="L79" s="24"/>
      <c r="M79" s="24"/>
      <c r="N79" s="24"/>
      <c r="R79" s="25">
        <v>1107.04</v>
      </c>
      <c r="S79" s="25"/>
      <c r="T79" s="25"/>
      <c r="V79" s="20">
        <v>327351.19999999995</v>
      </c>
      <c r="W79" s="20"/>
      <c r="X79" s="20"/>
    </row>
    <row r="80" spans="1:24" ht="10.95" customHeight="1" x14ac:dyDescent="0.25">
      <c r="A80" s="7">
        <v>45747</v>
      </c>
      <c r="F80" s="24" t="s">
        <v>69</v>
      </c>
      <c r="G80" s="24"/>
      <c r="H80" s="24"/>
      <c r="I80" s="24"/>
      <c r="J80" s="24"/>
      <c r="K80" s="24"/>
      <c r="L80" s="24"/>
      <c r="M80" s="24"/>
      <c r="N80" s="24"/>
      <c r="R80" s="25">
        <v>2121.02</v>
      </c>
      <c r="S80" s="25"/>
      <c r="T80" s="25"/>
      <c r="V80" s="20">
        <v>325230.17999999993</v>
      </c>
      <c r="W80" s="20"/>
      <c r="X80" s="20"/>
    </row>
    <row r="81" spans="1:24" ht="10.95" customHeight="1" x14ac:dyDescent="0.25">
      <c r="A81" s="7">
        <v>45747</v>
      </c>
      <c r="F81" s="24" t="s">
        <v>70</v>
      </c>
      <c r="G81" s="24"/>
      <c r="H81" s="24"/>
      <c r="I81" s="24"/>
      <c r="J81" s="24"/>
      <c r="K81" s="24"/>
      <c r="L81" s="24"/>
      <c r="M81" s="24"/>
      <c r="N81" s="24"/>
      <c r="R81" s="25">
        <v>6506.91</v>
      </c>
      <c r="S81" s="25"/>
      <c r="T81" s="25"/>
      <c r="V81" s="20">
        <v>318723.26999999996</v>
      </c>
      <c r="W81" s="20"/>
      <c r="X81" s="20"/>
    </row>
    <row r="82" spans="1:24" ht="10.95" customHeight="1" x14ac:dyDescent="0.25">
      <c r="A82" s="7">
        <v>45747</v>
      </c>
      <c r="F82" s="24" t="s">
        <v>71</v>
      </c>
      <c r="G82" s="24"/>
      <c r="H82" s="24"/>
      <c r="I82" s="24"/>
      <c r="J82" s="24"/>
      <c r="K82" s="24"/>
      <c r="L82" s="24"/>
      <c r="M82" s="24"/>
      <c r="N82" s="24"/>
      <c r="R82" s="25">
        <v>5198.43</v>
      </c>
      <c r="S82" s="25"/>
      <c r="T82" s="25"/>
      <c r="V82" s="20">
        <v>313524.83999999991</v>
      </c>
      <c r="W82" s="20"/>
      <c r="X82" s="20"/>
    </row>
    <row r="83" spans="1:24" ht="10.95" customHeight="1" x14ac:dyDescent="0.25">
      <c r="A83" s="7">
        <v>45747</v>
      </c>
      <c r="F83" s="24" t="s">
        <v>72</v>
      </c>
      <c r="G83" s="24"/>
      <c r="H83" s="24"/>
      <c r="I83" s="24"/>
      <c r="J83" s="24"/>
      <c r="K83" s="24"/>
      <c r="L83" s="24"/>
      <c r="M83" s="24"/>
      <c r="N83" s="24"/>
      <c r="R83" s="25">
        <v>3107.56</v>
      </c>
      <c r="S83" s="25"/>
      <c r="T83" s="25"/>
      <c r="V83" s="20">
        <v>310417.27999999991</v>
      </c>
      <c r="W83" s="20"/>
      <c r="X83" s="20"/>
    </row>
    <row r="84" spans="1:24" ht="10.95" customHeight="1" x14ac:dyDescent="0.25">
      <c r="A84" s="7">
        <v>45747</v>
      </c>
      <c r="F84" s="24" t="s">
        <v>73</v>
      </c>
      <c r="G84" s="24"/>
      <c r="H84" s="24"/>
      <c r="I84" s="24"/>
      <c r="J84" s="24"/>
      <c r="K84" s="24"/>
      <c r="L84" s="24"/>
      <c r="M84" s="24"/>
      <c r="N84" s="24"/>
      <c r="R84" s="25">
        <v>733</v>
      </c>
      <c r="S84" s="25"/>
      <c r="T84" s="25"/>
      <c r="V84" s="20">
        <v>309684.27999999991</v>
      </c>
      <c r="W84" s="20"/>
      <c r="X84" s="20"/>
    </row>
    <row r="85" spans="1:24" ht="10.95" customHeight="1" x14ac:dyDescent="0.25">
      <c r="A85" s="7">
        <v>45747</v>
      </c>
      <c r="F85" s="24" t="s">
        <v>74</v>
      </c>
      <c r="G85" s="24"/>
      <c r="H85" s="24"/>
      <c r="I85" s="24"/>
      <c r="J85" s="24"/>
      <c r="K85" s="24"/>
      <c r="L85" s="24"/>
      <c r="M85" s="24"/>
      <c r="N85" s="24"/>
      <c r="R85" s="25">
        <v>3823.91</v>
      </c>
      <c r="S85" s="25"/>
      <c r="T85" s="25"/>
      <c r="V85" s="20">
        <v>305860.36999999994</v>
      </c>
      <c r="W85" s="20"/>
      <c r="X85" s="20"/>
    </row>
    <row r="86" spans="1:24" ht="10.95" customHeight="1" x14ac:dyDescent="0.25">
      <c r="A86" s="7">
        <v>45747</v>
      </c>
      <c r="F86" s="24" t="s">
        <v>75</v>
      </c>
      <c r="G86" s="24"/>
      <c r="H86" s="24"/>
      <c r="I86" s="24"/>
      <c r="J86" s="24"/>
      <c r="K86" s="24"/>
      <c r="L86" s="24"/>
      <c r="M86" s="24"/>
      <c r="N86" s="24"/>
      <c r="R86" s="25">
        <v>1550.15</v>
      </c>
      <c r="S86" s="25"/>
      <c r="T86" s="25"/>
      <c r="V86" s="20">
        <v>304310.21999999997</v>
      </c>
      <c r="W86" s="20"/>
      <c r="X86" s="20"/>
    </row>
    <row r="87" spans="1:24" ht="10.95" customHeight="1" x14ac:dyDescent="0.25">
      <c r="A87" s="7">
        <v>45747</v>
      </c>
      <c r="F87" s="24" t="s">
        <v>76</v>
      </c>
      <c r="G87" s="24"/>
      <c r="H87" s="24"/>
      <c r="I87" s="24"/>
      <c r="J87" s="24"/>
      <c r="K87" s="24"/>
      <c r="L87" s="24"/>
      <c r="M87" s="24"/>
      <c r="N87" s="24"/>
      <c r="R87" s="25">
        <v>1727.54</v>
      </c>
      <c r="S87" s="25"/>
      <c r="T87" s="25"/>
      <c r="V87" s="20">
        <v>302582.67999999993</v>
      </c>
      <c r="W87" s="20"/>
      <c r="X87" s="20"/>
    </row>
    <row r="88" spans="1:24" ht="10.95" customHeight="1" x14ac:dyDescent="0.25">
      <c r="A88" s="7">
        <v>45747</v>
      </c>
      <c r="F88" s="24" t="s">
        <v>77</v>
      </c>
      <c r="G88" s="24"/>
      <c r="H88" s="24"/>
      <c r="I88" s="24"/>
      <c r="J88" s="24"/>
      <c r="K88" s="24"/>
      <c r="L88" s="24"/>
      <c r="M88" s="24"/>
      <c r="N88" s="24"/>
      <c r="R88" s="25">
        <v>2010.39</v>
      </c>
      <c r="S88" s="25"/>
      <c r="T88" s="25"/>
      <c r="V88" s="20">
        <v>300572.28999999992</v>
      </c>
      <c r="W88" s="20"/>
      <c r="X88" s="20"/>
    </row>
    <row r="89" spans="1:24" ht="10.95" customHeight="1" x14ac:dyDescent="0.25">
      <c r="A89" s="7">
        <v>45747</v>
      </c>
      <c r="F89" s="24" t="s">
        <v>78</v>
      </c>
      <c r="G89" s="24"/>
      <c r="H89" s="24"/>
      <c r="I89" s="24"/>
      <c r="J89" s="24"/>
      <c r="K89" s="24"/>
      <c r="L89" s="24"/>
      <c r="M89" s="24"/>
      <c r="N89" s="24"/>
      <c r="R89" s="25">
        <v>842.49</v>
      </c>
      <c r="S89" s="25"/>
      <c r="T89" s="25"/>
      <c r="V89" s="20">
        <v>299729.79999999993</v>
      </c>
      <c r="W89" s="20"/>
      <c r="X89" s="20"/>
    </row>
    <row r="90" spans="1:24" ht="10.95" customHeight="1" x14ac:dyDescent="0.25">
      <c r="A90" s="7">
        <v>45747</v>
      </c>
      <c r="F90" s="24" t="s">
        <v>79</v>
      </c>
      <c r="G90" s="24"/>
      <c r="H90" s="24"/>
      <c r="I90" s="24"/>
      <c r="J90" s="24"/>
      <c r="K90" s="24"/>
      <c r="L90" s="24"/>
      <c r="M90" s="24"/>
      <c r="N90" s="24"/>
      <c r="R90" s="25">
        <v>1009.74</v>
      </c>
      <c r="S90" s="25"/>
      <c r="T90" s="25"/>
      <c r="V90" s="20">
        <v>298720.05999999994</v>
      </c>
      <c r="W90" s="20"/>
      <c r="X90" s="20"/>
    </row>
    <row r="91" spans="1:24" ht="10.95" customHeight="1" x14ac:dyDescent="0.25">
      <c r="A91" s="7">
        <v>45747</v>
      </c>
      <c r="F91" s="24" t="s">
        <v>80</v>
      </c>
      <c r="G91" s="24"/>
      <c r="H91" s="24"/>
      <c r="I91" s="24"/>
      <c r="J91" s="24"/>
      <c r="K91" s="24"/>
      <c r="L91" s="24"/>
      <c r="M91" s="24"/>
      <c r="N91" s="24"/>
      <c r="R91" s="25">
        <v>1783.15</v>
      </c>
      <c r="S91" s="25"/>
      <c r="T91" s="25"/>
      <c r="V91" s="20">
        <v>296936.90999999992</v>
      </c>
      <c r="W91" s="20"/>
      <c r="X91" s="20"/>
    </row>
    <row r="92" spans="1:24" ht="10.95" customHeight="1" x14ac:dyDescent="0.25">
      <c r="A92" s="7">
        <v>45747</v>
      </c>
      <c r="F92" s="24" t="s">
        <v>81</v>
      </c>
      <c r="G92" s="24"/>
      <c r="H92" s="24"/>
      <c r="I92" s="24"/>
      <c r="J92" s="24"/>
      <c r="K92" s="24"/>
      <c r="L92" s="24"/>
      <c r="M92" s="24"/>
      <c r="N92" s="24"/>
      <c r="R92" s="25">
        <v>2273.39</v>
      </c>
      <c r="S92" s="25"/>
      <c r="T92" s="25"/>
      <c r="V92" s="20">
        <v>294663.51999999996</v>
      </c>
      <c r="W92" s="20"/>
      <c r="X92" s="20"/>
    </row>
    <row r="93" spans="1:24" ht="10.95" customHeight="1" x14ac:dyDescent="0.25">
      <c r="A93" s="7">
        <v>45747</v>
      </c>
      <c r="F93" s="24" t="s">
        <v>82</v>
      </c>
      <c r="G93" s="24"/>
      <c r="H93" s="24"/>
      <c r="I93" s="24"/>
      <c r="J93" s="24"/>
      <c r="K93" s="24"/>
      <c r="L93" s="24"/>
      <c r="M93" s="24"/>
      <c r="N93" s="24"/>
      <c r="R93" s="25">
        <v>1404.15</v>
      </c>
      <c r="S93" s="25"/>
      <c r="T93" s="25"/>
      <c r="V93" s="20">
        <v>293259.36999999994</v>
      </c>
      <c r="W93" s="20"/>
      <c r="X93" s="20"/>
    </row>
    <row r="94" spans="1:24" ht="10.95" customHeight="1" x14ac:dyDescent="0.25">
      <c r="A94" s="7">
        <v>45747</v>
      </c>
      <c r="F94" s="24" t="s">
        <v>83</v>
      </c>
      <c r="G94" s="24"/>
      <c r="H94" s="24"/>
      <c r="I94" s="24"/>
      <c r="J94" s="24"/>
      <c r="K94" s="24"/>
      <c r="L94" s="24"/>
      <c r="M94" s="24"/>
      <c r="N94" s="24"/>
      <c r="R94" s="25">
        <v>3742.31</v>
      </c>
      <c r="S94" s="25"/>
      <c r="T94" s="25"/>
      <c r="V94" s="20">
        <v>289517.05999999994</v>
      </c>
      <c r="W94" s="20"/>
      <c r="X94" s="20"/>
    </row>
    <row r="95" spans="1:24" ht="10.95" customHeight="1" x14ac:dyDescent="0.25">
      <c r="A95" s="7">
        <v>45747</v>
      </c>
      <c r="F95" s="24" t="s">
        <v>84</v>
      </c>
      <c r="G95" s="24"/>
      <c r="H95" s="24"/>
      <c r="I95" s="24"/>
      <c r="J95" s="24"/>
      <c r="K95" s="24"/>
      <c r="L95" s="24"/>
      <c r="M95" s="24"/>
      <c r="N95" s="24"/>
      <c r="R95" s="25">
        <v>4479.37</v>
      </c>
      <c r="S95" s="25"/>
      <c r="T95" s="25"/>
      <c r="V95" s="20">
        <v>285037.68999999994</v>
      </c>
      <c r="W95" s="20"/>
      <c r="X95" s="20"/>
    </row>
    <row r="96" spans="1:24" ht="10.95" customHeight="1" x14ac:dyDescent="0.25">
      <c r="A96" s="7">
        <v>45747</v>
      </c>
      <c r="F96" s="24" t="s">
        <v>85</v>
      </c>
      <c r="G96" s="24"/>
      <c r="H96" s="24"/>
      <c r="I96" s="24"/>
      <c r="J96" s="24"/>
      <c r="K96" s="24"/>
      <c r="L96" s="24"/>
      <c r="M96" s="24"/>
      <c r="N96" s="24"/>
      <c r="R96" s="25">
        <v>170.67</v>
      </c>
      <c r="S96" s="25"/>
      <c r="T96" s="25"/>
      <c r="V96" s="20">
        <v>284867.01999999996</v>
      </c>
      <c r="W96" s="20"/>
      <c r="X96" s="20"/>
    </row>
    <row r="97" spans="1:24" ht="10.95" customHeight="1" x14ac:dyDescent="0.25">
      <c r="A97" s="7">
        <v>45747</v>
      </c>
      <c r="F97" s="24" t="s">
        <v>86</v>
      </c>
      <c r="G97" s="24"/>
      <c r="H97" s="24"/>
      <c r="I97" s="24"/>
      <c r="J97" s="24"/>
      <c r="K97" s="24"/>
      <c r="L97" s="24"/>
      <c r="M97" s="24"/>
      <c r="N97" s="24"/>
      <c r="R97" s="25">
        <v>6240</v>
      </c>
      <c r="S97" s="25"/>
      <c r="T97" s="25"/>
      <c r="V97" s="20">
        <v>278627.01999999996</v>
      </c>
      <c r="W97" s="20"/>
      <c r="X97" s="20"/>
    </row>
    <row r="98" spans="1:24" ht="10.95" customHeight="1" x14ac:dyDescent="0.25">
      <c r="A98" s="7">
        <v>45747</v>
      </c>
      <c r="F98" s="24" t="s">
        <v>87</v>
      </c>
      <c r="G98" s="24"/>
      <c r="H98" s="24"/>
      <c r="I98" s="24"/>
      <c r="J98" s="24"/>
      <c r="K98" s="24"/>
      <c r="L98" s="24"/>
      <c r="M98" s="24"/>
      <c r="N98" s="24"/>
      <c r="R98" s="25">
        <v>4329.2299999999996</v>
      </c>
      <c r="S98" s="25"/>
      <c r="T98" s="25"/>
      <c r="V98" s="20">
        <v>274297.78999999998</v>
      </c>
      <c r="W98" s="20"/>
      <c r="X98" s="20"/>
    </row>
    <row r="99" spans="1:24" ht="10.95" customHeight="1" x14ac:dyDescent="0.25">
      <c r="A99" s="7">
        <v>45747</v>
      </c>
      <c r="F99" s="24" t="s">
        <v>88</v>
      </c>
      <c r="G99" s="24"/>
      <c r="H99" s="24"/>
      <c r="I99" s="24"/>
      <c r="J99" s="24"/>
      <c r="K99" s="24"/>
      <c r="L99" s="24"/>
      <c r="M99" s="24"/>
      <c r="N99" s="24"/>
      <c r="R99" s="25">
        <v>114.9</v>
      </c>
      <c r="S99" s="25"/>
      <c r="T99" s="25"/>
      <c r="V99" s="20">
        <v>274182.88999999996</v>
      </c>
      <c r="W99" s="20"/>
      <c r="X99" s="20"/>
    </row>
    <row r="100" spans="1:24" ht="10.95" customHeight="1" x14ac:dyDescent="0.25">
      <c r="A100" s="7">
        <v>45747</v>
      </c>
      <c r="F100" s="24" t="s">
        <v>89</v>
      </c>
      <c r="G100" s="24"/>
      <c r="H100" s="24"/>
      <c r="I100" s="24"/>
      <c r="J100" s="24"/>
      <c r="K100" s="24"/>
      <c r="L100" s="24"/>
      <c r="M100" s="24"/>
      <c r="N100" s="24"/>
      <c r="R100" s="25">
        <v>3000</v>
      </c>
      <c r="S100" s="25"/>
      <c r="T100" s="25"/>
      <c r="V100" s="20">
        <v>271182.88999999996</v>
      </c>
      <c r="W100" s="20"/>
      <c r="X100" s="20"/>
    </row>
    <row r="101" spans="1:24" ht="10.95" customHeight="1" x14ac:dyDescent="0.25">
      <c r="A101" s="7">
        <v>45747</v>
      </c>
      <c r="F101" s="24" t="s">
        <v>90</v>
      </c>
      <c r="G101" s="24"/>
      <c r="H101" s="24"/>
      <c r="I101" s="24"/>
      <c r="J101" s="24"/>
      <c r="K101" s="24"/>
      <c r="L101" s="24"/>
      <c r="M101" s="24"/>
      <c r="N101" s="24"/>
      <c r="R101" s="25">
        <v>10</v>
      </c>
      <c r="S101" s="25"/>
      <c r="T101" s="25"/>
      <c r="V101" s="20">
        <v>271172.88999999996</v>
      </c>
      <c r="W101" s="20"/>
      <c r="X101" s="20"/>
    </row>
    <row r="102" spans="1:24" ht="10.95" customHeight="1" x14ac:dyDescent="0.25">
      <c r="A102" s="7">
        <v>45747</v>
      </c>
      <c r="F102" s="24" t="s">
        <v>91</v>
      </c>
      <c r="G102" s="24"/>
      <c r="H102" s="24"/>
      <c r="I102" s="24"/>
      <c r="J102" s="24"/>
      <c r="K102" s="24"/>
      <c r="L102" s="24"/>
      <c r="M102" s="24"/>
      <c r="N102" s="24"/>
      <c r="R102" s="25">
        <v>2263</v>
      </c>
      <c r="S102" s="25"/>
      <c r="T102" s="25"/>
      <c r="V102" s="20">
        <v>268909.88999999996</v>
      </c>
      <c r="W102" s="20"/>
      <c r="X102" s="20"/>
    </row>
    <row r="103" spans="1:24" ht="10.95" customHeight="1" x14ac:dyDescent="0.25">
      <c r="A103" s="7">
        <v>45747</v>
      </c>
      <c r="F103" s="24" t="s">
        <v>22</v>
      </c>
      <c r="G103" s="24"/>
      <c r="H103" s="24"/>
      <c r="I103" s="24"/>
      <c r="J103" s="24"/>
      <c r="K103" s="24"/>
      <c r="L103" s="24"/>
      <c r="M103" s="24"/>
      <c r="N103" s="24"/>
      <c r="R103" s="25">
        <v>2000</v>
      </c>
      <c r="S103" s="25"/>
      <c r="T103" s="25"/>
      <c r="V103" s="20">
        <v>266909.88999999996</v>
      </c>
      <c r="W103" s="20"/>
      <c r="X103" s="20"/>
    </row>
    <row r="104" spans="1:24" ht="10.95" customHeight="1" x14ac:dyDescent="0.25">
      <c r="A104" s="7">
        <v>45747</v>
      </c>
      <c r="F104" s="24" t="s">
        <v>92</v>
      </c>
      <c r="G104" s="24"/>
      <c r="H104" s="24"/>
      <c r="I104" s="24"/>
      <c r="J104" s="24"/>
      <c r="K104" s="24"/>
      <c r="L104" s="24"/>
      <c r="M104" s="24"/>
      <c r="N104" s="24"/>
      <c r="R104" s="25">
        <v>5000</v>
      </c>
      <c r="S104" s="25"/>
      <c r="T104" s="25"/>
      <c r="V104" s="20">
        <v>261909.88999999996</v>
      </c>
      <c r="W104" s="20"/>
      <c r="X104" s="20"/>
    </row>
    <row r="105" spans="1:24" ht="10.95" customHeight="1" x14ac:dyDescent="0.25">
      <c r="A105" s="7">
        <v>45747</v>
      </c>
      <c r="F105" s="24" t="s">
        <v>93</v>
      </c>
      <c r="G105" s="24"/>
      <c r="H105" s="24"/>
      <c r="I105" s="24"/>
      <c r="J105" s="24"/>
      <c r="K105" s="24"/>
      <c r="L105" s="24"/>
      <c r="M105" s="24"/>
      <c r="N105" s="24"/>
      <c r="R105" s="25">
        <v>6450</v>
      </c>
      <c r="S105" s="25"/>
      <c r="T105" s="25"/>
      <c r="V105" s="20">
        <v>255459.88999999996</v>
      </c>
      <c r="W105" s="20"/>
      <c r="X105" s="20"/>
    </row>
    <row r="106" spans="1:24" ht="10.95" customHeight="1" x14ac:dyDescent="0.25"/>
    <row r="107" spans="1:24" ht="11.7" customHeight="1" x14ac:dyDescent="0.25">
      <c r="M107" s="1" t="s">
        <v>94</v>
      </c>
      <c r="P107" s="2">
        <v>150364.28999999998</v>
      </c>
      <c r="R107" s="25">
        <v>108794.51999999997</v>
      </c>
      <c r="S107" s="25"/>
      <c r="T107" s="25"/>
    </row>
    <row r="108" spans="1:24" ht="11.7" customHeight="1" x14ac:dyDescent="0.25">
      <c r="C108" s="27" t="s">
        <v>95</v>
      </c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R108" s="20">
        <v>255459.89</v>
      </c>
      <c r="S108" s="20"/>
      <c r="T108" s="20"/>
    </row>
    <row r="109" spans="1:24" ht="34.200000000000003" customHeight="1" x14ac:dyDescent="0.25"/>
    <row r="110" spans="1:24" ht="11.7" customHeight="1" x14ac:dyDescent="0.25">
      <c r="A110" s="26" t="s">
        <v>96</v>
      </c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</row>
  </sheetData>
  <mergeCells count="285">
    <mergeCell ref="A110:R110"/>
    <mergeCell ref="V105:X105"/>
    <mergeCell ref="F105:N105"/>
    <mergeCell ref="R105:T105"/>
    <mergeCell ref="R107:T107"/>
    <mergeCell ref="C108:M108"/>
    <mergeCell ref="R108:T108"/>
    <mergeCell ref="V103:X103"/>
    <mergeCell ref="F103:N103"/>
    <mergeCell ref="R103:T103"/>
    <mergeCell ref="V104:X104"/>
    <mergeCell ref="F104:N104"/>
    <mergeCell ref="R104:T104"/>
    <mergeCell ref="V101:X101"/>
    <mergeCell ref="F101:N101"/>
    <mergeCell ref="R101:T101"/>
    <mergeCell ref="V102:X102"/>
    <mergeCell ref="F102:N102"/>
    <mergeCell ref="R102:T102"/>
    <mergeCell ref="V99:X99"/>
    <mergeCell ref="F99:N99"/>
    <mergeCell ref="R99:T99"/>
    <mergeCell ref="V100:X100"/>
    <mergeCell ref="F100:N100"/>
    <mergeCell ref="R100:T100"/>
    <mergeCell ref="V97:X97"/>
    <mergeCell ref="F97:N97"/>
    <mergeCell ref="R97:T97"/>
    <mergeCell ref="V98:X98"/>
    <mergeCell ref="F98:N98"/>
    <mergeCell ref="R98:T98"/>
    <mergeCell ref="V95:X95"/>
    <mergeCell ref="F95:N95"/>
    <mergeCell ref="R95:T95"/>
    <mergeCell ref="V96:X96"/>
    <mergeCell ref="F96:N96"/>
    <mergeCell ref="R96:T96"/>
    <mergeCell ref="V93:X93"/>
    <mergeCell ref="F93:N93"/>
    <mergeCell ref="R93:T93"/>
    <mergeCell ref="V94:X94"/>
    <mergeCell ref="F94:N94"/>
    <mergeCell ref="R94:T94"/>
    <mergeCell ref="V91:X91"/>
    <mergeCell ref="F91:N91"/>
    <mergeCell ref="R91:T91"/>
    <mergeCell ref="V92:X92"/>
    <mergeCell ref="F92:N92"/>
    <mergeCell ref="R92:T92"/>
    <mergeCell ref="V89:X89"/>
    <mergeCell ref="F89:N89"/>
    <mergeCell ref="R89:T89"/>
    <mergeCell ref="V90:X90"/>
    <mergeCell ref="F90:N90"/>
    <mergeCell ref="R90:T90"/>
    <mergeCell ref="V87:X87"/>
    <mergeCell ref="F87:N87"/>
    <mergeCell ref="R87:T87"/>
    <mergeCell ref="V88:X88"/>
    <mergeCell ref="F88:N88"/>
    <mergeCell ref="R88:T88"/>
    <mergeCell ref="V85:X85"/>
    <mergeCell ref="F85:N85"/>
    <mergeCell ref="R85:T85"/>
    <mergeCell ref="V86:X86"/>
    <mergeCell ref="F86:N86"/>
    <mergeCell ref="R86:T86"/>
    <mergeCell ref="V83:X83"/>
    <mergeCell ref="F83:N83"/>
    <mergeCell ref="R83:T83"/>
    <mergeCell ref="V84:X84"/>
    <mergeCell ref="F84:N84"/>
    <mergeCell ref="R84:T84"/>
    <mergeCell ref="V81:X81"/>
    <mergeCell ref="F81:N81"/>
    <mergeCell ref="R81:T81"/>
    <mergeCell ref="V82:X82"/>
    <mergeCell ref="F82:N82"/>
    <mergeCell ref="R82:T82"/>
    <mergeCell ref="V78:X78"/>
    <mergeCell ref="F78:N78"/>
    <mergeCell ref="V79:X79"/>
    <mergeCell ref="F79:N79"/>
    <mergeCell ref="R79:T79"/>
    <mergeCell ref="V80:X80"/>
    <mergeCell ref="F80:N80"/>
    <mergeCell ref="R80:T80"/>
    <mergeCell ref="V75:X75"/>
    <mergeCell ref="F75:N75"/>
    <mergeCell ref="V76:X76"/>
    <mergeCell ref="F76:N76"/>
    <mergeCell ref="V77:X77"/>
    <mergeCell ref="F77:N77"/>
    <mergeCell ref="R77:T77"/>
    <mergeCell ref="V72:X72"/>
    <mergeCell ref="F72:N72"/>
    <mergeCell ref="V73:X73"/>
    <mergeCell ref="F73:N73"/>
    <mergeCell ref="R73:T73"/>
    <mergeCell ref="V74:X74"/>
    <mergeCell ref="F74:N74"/>
    <mergeCell ref="V70:X70"/>
    <mergeCell ref="F70:N70"/>
    <mergeCell ref="R70:T70"/>
    <mergeCell ref="V71:X71"/>
    <mergeCell ref="F71:N71"/>
    <mergeCell ref="R71:T71"/>
    <mergeCell ref="V68:X68"/>
    <mergeCell ref="F68:N68"/>
    <mergeCell ref="R68:T68"/>
    <mergeCell ref="V69:X69"/>
    <mergeCell ref="F69:N69"/>
    <mergeCell ref="R69:T69"/>
    <mergeCell ref="V65:X65"/>
    <mergeCell ref="F65:N65"/>
    <mergeCell ref="R65:T65"/>
    <mergeCell ref="V66:X66"/>
    <mergeCell ref="F66:N66"/>
    <mergeCell ref="V67:X67"/>
    <mergeCell ref="F67:N67"/>
    <mergeCell ref="R67:T67"/>
    <mergeCell ref="V63:X63"/>
    <mergeCell ref="F63:N63"/>
    <mergeCell ref="R63:T63"/>
    <mergeCell ref="V64:X64"/>
    <mergeCell ref="F64:N64"/>
    <mergeCell ref="R64:T64"/>
    <mergeCell ref="V60:X60"/>
    <mergeCell ref="F60:N60"/>
    <mergeCell ref="V61:X61"/>
    <mergeCell ref="F61:N61"/>
    <mergeCell ref="V62:X62"/>
    <mergeCell ref="F62:N62"/>
    <mergeCell ref="R62:T62"/>
    <mergeCell ref="V58:X58"/>
    <mergeCell ref="F58:N58"/>
    <mergeCell ref="R58:T58"/>
    <mergeCell ref="V59:X59"/>
    <mergeCell ref="F59:N59"/>
    <mergeCell ref="R59:T59"/>
    <mergeCell ref="V55:X55"/>
    <mergeCell ref="F55:N55"/>
    <mergeCell ref="R55:T55"/>
    <mergeCell ref="V56:X56"/>
    <mergeCell ref="F56:N56"/>
    <mergeCell ref="V57:X57"/>
    <mergeCell ref="F57:N57"/>
    <mergeCell ref="V53:X53"/>
    <mergeCell ref="F53:N53"/>
    <mergeCell ref="R53:T53"/>
    <mergeCell ref="V54:X54"/>
    <mergeCell ref="F54:N54"/>
    <mergeCell ref="R54:T54"/>
    <mergeCell ref="V50:X50"/>
    <mergeCell ref="F50:N50"/>
    <mergeCell ref="V51:X51"/>
    <mergeCell ref="F51:N51"/>
    <mergeCell ref="R51:T51"/>
    <mergeCell ref="V52:X52"/>
    <mergeCell ref="F52:N52"/>
    <mergeCell ref="R52:T52"/>
    <mergeCell ref="V48:X48"/>
    <mergeCell ref="F48:N48"/>
    <mergeCell ref="R48:T48"/>
    <mergeCell ref="V49:X49"/>
    <mergeCell ref="F49:N49"/>
    <mergeCell ref="R49:T49"/>
    <mergeCell ref="V46:X46"/>
    <mergeCell ref="F46:N46"/>
    <mergeCell ref="R46:T46"/>
    <mergeCell ref="V47:X47"/>
    <mergeCell ref="F47:N47"/>
    <mergeCell ref="R47:T47"/>
    <mergeCell ref="V44:X44"/>
    <mergeCell ref="F44:N44"/>
    <mergeCell ref="R44:T44"/>
    <mergeCell ref="V45:X45"/>
    <mergeCell ref="F45:N45"/>
    <mergeCell ref="R45:T45"/>
    <mergeCell ref="V42:X42"/>
    <mergeCell ref="F42:N42"/>
    <mergeCell ref="R42:T42"/>
    <mergeCell ref="V43:X43"/>
    <mergeCell ref="F43:N43"/>
    <mergeCell ref="R43:T43"/>
    <mergeCell ref="V40:X40"/>
    <mergeCell ref="F40:N40"/>
    <mergeCell ref="R40:T40"/>
    <mergeCell ref="V41:X41"/>
    <mergeCell ref="F41:N41"/>
    <mergeCell ref="R41:T41"/>
    <mergeCell ref="V38:X38"/>
    <mergeCell ref="F38:N38"/>
    <mergeCell ref="R38:T38"/>
    <mergeCell ref="V39:X39"/>
    <mergeCell ref="F39:N39"/>
    <mergeCell ref="R39:T39"/>
    <mergeCell ref="V35:X35"/>
    <mergeCell ref="F35:N35"/>
    <mergeCell ref="R35:T35"/>
    <mergeCell ref="V36:X36"/>
    <mergeCell ref="F36:N36"/>
    <mergeCell ref="V37:X37"/>
    <mergeCell ref="F37:N37"/>
    <mergeCell ref="R37:T37"/>
    <mergeCell ref="V33:X33"/>
    <mergeCell ref="F33:N33"/>
    <mergeCell ref="R33:T33"/>
    <mergeCell ref="V34:X34"/>
    <mergeCell ref="F34:N34"/>
    <mergeCell ref="R34:T34"/>
    <mergeCell ref="V30:X30"/>
    <mergeCell ref="F30:N30"/>
    <mergeCell ref="V31:X31"/>
    <mergeCell ref="F31:N31"/>
    <mergeCell ref="V32:X32"/>
    <mergeCell ref="F32:N32"/>
    <mergeCell ref="V27:X27"/>
    <mergeCell ref="F27:N27"/>
    <mergeCell ref="R27:T27"/>
    <mergeCell ref="V28:X28"/>
    <mergeCell ref="F28:N28"/>
    <mergeCell ref="V29:X29"/>
    <mergeCell ref="F29:N29"/>
    <mergeCell ref="R29:T29"/>
    <mergeCell ref="V25:X25"/>
    <mergeCell ref="F25:N25"/>
    <mergeCell ref="R25:T25"/>
    <mergeCell ref="V26:X26"/>
    <mergeCell ref="F26:N26"/>
    <mergeCell ref="R26:T26"/>
    <mergeCell ref="V23:X23"/>
    <mergeCell ref="F23:N23"/>
    <mergeCell ref="R23:T23"/>
    <mergeCell ref="V24:X24"/>
    <mergeCell ref="F24:N24"/>
    <mergeCell ref="R24:T24"/>
    <mergeCell ref="V21:X21"/>
    <mergeCell ref="F21:N21"/>
    <mergeCell ref="R21:T21"/>
    <mergeCell ref="V22:X22"/>
    <mergeCell ref="F22:N22"/>
    <mergeCell ref="R22:T22"/>
    <mergeCell ref="V18:X18"/>
    <mergeCell ref="F18:N18"/>
    <mergeCell ref="V19:X19"/>
    <mergeCell ref="F19:N19"/>
    <mergeCell ref="R19:T19"/>
    <mergeCell ref="V20:X20"/>
    <mergeCell ref="F20:N20"/>
    <mergeCell ref="R20:T20"/>
    <mergeCell ref="V16:X16"/>
    <mergeCell ref="F16:N16"/>
    <mergeCell ref="R16:T16"/>
    <mergeCell ref="V17:X17"/>
    <mergeCell ref="F17:N17"/>
    <mergeCell ref="R17:T17"/>
    <mergeCell ref="V13:X13"/>
    <mergeCell ref="F13:N13"/>
    <mergeCell ref="R13:T13"/>
    <mergeCell ref="V14:X14"/>
    <mergeCell ref="F14:N14"/>
    <mergeCell ref="V15:X15"/>
    <mergeCell ref="F15:N15"/>
    <mergeCell ref="R15:T15"/>
    <mergeCell ref="V10:X10"/>
    <mergeCell ref="F10:N10"/>
    <mergeCell ref="V11:X11"/>
    <mergeCell ref="F11:N11"/>
    <mergeCell ref="R11:T11"/>
    <mergeCell ref="V12:X12"/>
    <mergeCell ref="F12:N12"/>
    <mergeCell ref="R12:T12"/>
    <mergeCell ref="A6:X6"/>
    <mergeCell ref="F8:N8"/>
    <mergeCell ref="R8:T8"/>
    <mergeCell ref="V8:X8"/>
    <mergeCell ref="V9:X9"/>
    <mergeCell ref="F9:M9"/>
    <mergeCell ref="E1:R1"/>
    <mergeCell ref="A1:C1"/>
    <mergeCell ref="T1:V1"/>
    <mergeCell ref="E2:J2"/>
    <mergeCell ref="E3:F3"/>
    <mergeCell ref="A4:K4"/>
  </mergeCells>
  <pageMargins left="0.75" right="0.78740157499999996" top="1" bottom="0.75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topLeftCell="A72" zoomScale="70" zoomScaleNormal="70" workbookViewId="0">
      <selection activeCell="B51" sqref="B51:D77"/>
    </sheetView>
  </sheetViews>
  <sheetFormatPr defaultColWidth="37.21875" defaultRowHeight="15" x14ac:dyDescent="0.25"/>
  <cols>
    <col min="1" max="1" width="37.21875" style="16" customWidth="1"/>
    <col min="2" max="2" width="37.21875" style="12" customWidth="1"/>
    <col min="3" max="3" width="37.21875" style="10" customWidth="1"/>
    <col min="4" max="4" width="37.21875" style="13" customWidth="1"/>
    <col min="5" max="16384" width="37.21875" style="8"/>
  </cols>
  <sheetData>
    <row r="1" spans="1:4" ht="90" x14ac:dyDescent="0.25">
      <c r="A1" s="15">
        <v>45721</v>
      </c>
      <c r="B1" s="9" t="s">
        <v>97</v>
      </c>
      <c r="C1" s="10">
        <v>0</v>
      </c>
      <c r="D1" s="11">
        <v>1844.05</v>
      </c>
    </row>
    <row r="2" spans="1:4" ht="105" x14ac:dyDescent="0.25">
      <c r="A2" s="15">
        <v>45721</v>
      </c>
      <c r="B2" s="9" t="s">
        <v>98</v>
      </c>
      <c r="C2" s="10">
        <v>0</v>
      </c>
      <c r="D2" s="11">
        <v>10</v>
      </c>
    </row>
    <row r="3" spans="1:4" ht="105" x14ac:dyDescent="0.25">
      <c r="A3" s="15">
        <v>45721</v>
      </c>
      <c r="B3" s="9" t="s">
        <v>99</v>
      </c>
      <c r="C3" s="10">
        <v>0</v>
      </c>
      <c r="D3" s="11">
        <v>5500</v>
      </c>
    </row>
    <row r="4" spans="1:4" ht="90" x14ac:dyDescent="0.25">
      <c r="A4" s="15">
        <v>45722</v>
      </c>
      <c r="B4" s="9" t="s">
        <v>100</v>
      </c>
      <c r="C4" s="10">
        <v>0</v>
      </c>
      <c r="D4" s="11">
        <v>474.5</v>
      </c>
    </row>
    <row r="5" spans="1:4" ht="90" x14ac:dyDescent="0.25">
      <c r="A5" s="15">
        <v>45722</v>
      </c>
      <c r="B5" s="9" t="s">
        <v>101</v>
      </c>
      <c r="C5" s="10">
        <v>0</v>
      </c>
      <c r="D5" s="11">
        <v>2000</v>
      </c>
    </row>
    <row r="6" spans="1:4" ht="90" x14ac:dyDescent="0.25">
      <c r="A6" s="15">
        <v>45722</v>
      </c>
      <c r="B6" s="9" t="s">
        <v>102</v>
      </c>
      <c r="C6" s="10">
        <v>0</v>
      </c>
      <c r="D6" s="11">
        <v>10</v>
      </c>
    </row>
    <row r="7" spans="1:4" ht="90" x14ac:dyDescent="0.25">
      <c r="A7" s="15">
        <v>45723</v>
      </c>
      <c r="B7" s="9" t="s">
        <v>103</v>
      </c>
      <c r="C7" s="10">
        <v>0</v>
      </c>
      <c r="D7" s="11">
        <v>3024.09</v>
      </c>
    </row>
    <row r="8" spans="1:4" ht="120" x14ac:dyDescent="0.25">
      <c r="A8" s="15">
        <v>45723</v>
      </c>
      <c r="B8" s="9" t="s">
        <v>104</v>
      </c>
      <c r="C8" s="10">
        <v>0</v>
      </c>
      <c r="D8" s="11">
        <v>1419</v>
      </c>
    </row>
    <row r="9" spans="1:4" ht="105" x14ac:dyDescent="0.25">
      <c r="A9" s="15">
        <v>45723</v>
      </c>
      <c r="B9" s="9" t="s">
        <v>105</v>
      </c>
      <c r="C9" s="10">
        <v>0</v>
      </c>
      <c r="D9" s="11">
        <v>2.4700000000000002</v>
      </c>
    </row>
    <row r="10" spans="1:4" ht="90" x14ac:dyDescent="0.25">
      <c r="A10" s="15">
        <v>45723</v>
      </c>
      <c r="B10" s="9" t="s">
        <v>106</v>
      </c>
      <c r="C10" s="10">
        <v>0</v>
      </c>
      <c r="D10" s="11">
        <v>10</v>
      </c>
    </row>
    <row r="11" spans="1:4" ht="120" x14ac:dyDescent="0.25">
      <c r="A11" s="15">
        <v>45723</v>
      </c>
      <c r="B11" s="9" t="s">
        <v>107</v>
      </c>
      <c r="C11" s="10">
        <v>0</v>
      </c>
      <c r="D11" s="11">
        <v>225.7</v>
      </c>
    </row>
    <row r="12" spans="1:4" ht="135" x14ac:dyDescent="0.25">
      <c r="A12" s="15">
        <v>45723</v>
      </c>
      <c r="B12" s="9" t="s">
        <v>108</v>
      </c>
      <c r="C12" s="10">
        <v>0</v>
      </c>
      <c r="D12" s="11">
        <v>898</v>
      </c>
    </row>
    <row r="13" spans="1:4" ht="105" x14ac:dyDescent="0.25">
      <c r="A13" s="15">
        <v>45723</v>
      </c>
      <c r="B13" s="9" t="s">
        <v>109</v>
      </c>
      <c r="C13" s="10">
        <v>0</v>
      </c>
      <c r="D13" s="11">
        <v>250</v>
      </c>
    </row>
    <row r="14" spans="1:4" ht="90" x14ac:dyDescent="0.25">
      <c r="A14" s="15">
        <v>45724</v>
      </c>
      <c r="B14" s="9" t="s">
        <v>110</v>
      </c>
      <c r="C14" s="10">
        <v>0</v>
      </c>
      <c r="D14" s="11">
        <v>245.3</v>
      </c>
    </row>
    <row r="15" spans="1:4" ht="105" x14ac:dyDescent="0.25">
      <c r="A15" s="15">
        <v>45724</v>
      </c>
      <c r="B15" s="9" t="s">
        <v>111</v>
      </c>
      <c r="C15" s="10">
        <v>0</v>
      </c>
      <c r="D15" s="11">
        <v>2.42</v>
      </c>
    </row>
    <row r="16" spans="1:4" ht="120" x14ac:dyDescent="0.25">
      <c r="A16" s="15">
        <v>45726</v>
      </c>
      <c r="B16" s="9" t="s">
        <v>112</v>
      </c>
      <c r="C16" s="10">
        <v>0</v>
      </c>
      <c r="D16" s="11">
        <v>296.69</v>
      </c>
    </row>
    <row r="17" spans="1:4" ht="45" x14ac:dyDescent="0.25">
      <c r="A17" s="15">
        <v>45729</v>
      </c>
      <c r="B17" s="9" t="s">
        <v>113</v>
      </c>
      <c r="C17" s="10">
        <v>0</v>
      </c>
      <c r="D17" s="11">
        <v>76</v>
      </c>
    </row>
    <row r="18" spans="1:4" ht="60" x14ac:dyDescent="0.25">
      <c r="A18" s="15">
        <v>45729</v>
      </c>
      <c r="B18" s="9" t="s">
        <v>114</v>
      </c>
      <c r="C18" s="10">
        <v>0</v>
      </c>
      <c r="D18" s="11">
        <v>1</v>
      </c>
    </row>
    <row r="19" spans="1:4" ht="75" x14ac:dyDescent="0.25">
      <c r="A19" s="15">
        <v>45729</v>
      </c>
      <c r="B19" s="9" t="s">
        <v>115</v>
      </c>
      <c r="C19" s="10">
        <v>0</v>
      </c>
      <c r="D19" s="11">
        <v>90</v>
      </c>
    </row>
    <row r="20" spans="1:4" ht="75" x14ac:dyDescent="0.25">
      <c r="A20" s="15">
        <v>45730</v>
      </c>
      <c r="B20" s="9" t="s">
        <v>116</v>
      </c>
      <c r="C20" s="10">
        <v>0</v>
      </c>
      <c r="D20" s="11">
        <v>1024</v>
      </c>
    </row>
    <row r="21" spans="1:4" ht="75" x14ac:dyDescent="0.25">
      <c r="A21" s="15">
        <v>45730</v>
      </c>
      <c r="B21" s="9" t="s">
        <v>117</v>
      </c>
      <c r="C21" s="10">
        <v>0</v>
      </c>
      <c r="D21" s="11">
        <v>113.68</v>
      </c>
    </row>
    <row r="22" spans="1:4" ht="90" x14ac:dyDescent="0.25">
      <c r="A22" s="15">
        <v>45730</v>
      </c>
      <c r="B22" s="9" t="s">
        <v>118</v>
      </c>
      <c r="C22" s="10">
        <v>0</v>
      </c>
      <c r="D22" s="11">
        <v>1920.83</v>
      </c>
    </row>
    <row r="23" spans="1:4" ht="120" x14ac:dyDescent="0.25">
      <c r="A23" s="15">
        <v>45730</v>
      </c>
      <c r="B23" s="9" t="s">
        <v>119</v>
      </c>
      <c r="C23" s="10">
        <v>0</v>
      </c>
      <c r="D23" s="11">
        <v>1452.61</v>
      </c>
    </row>
    <row r="24" spans="1:4" ht="120" x14ac:dyDescent="0.25">
      <c r="A24" s="15">
        <v>45730</v>
      </c>
      <c r="B24" s="9" t="s">
        <v>120</v>
      </c>
      <c r="C24" s="10">
        <v>0</v>
      </c>
      <c r="D24" s="11">
        <v>1205.99</v>
      </c>
    </row>
    <row r="25" spans="1:4" ht="120" x14ac:dyDescent="0.25">
      <c r="A25" s="15">
        <v>45730</v>
      </c>
      <c r="B25" s="9" t="s">
        <v>121</v>
      </c>
      <c r="C25" s="10">
        <v>0</v>
      </c>
      <c r="D25" s="11">
        <v>922.58</v>
      </c>
    </row>
    <row r="26" spans="1:4" ht="120" x14ac:dyDescent="0.25">
      <c r="A26" s="15">
        <v>45730</v>
      </c>
      <c r="B26" s="9" t="s">
        <v>122</v>
      </c>
      <c r="C26" s="10">
        <v>0</v>
      </c>
      <c r="D26" s="11">
        <v>126</v>
      </c>
    </row>
    <row r="27" spans="1:4" ht="135" x14ac:dyDescent="0.25">
      <c r="A27" s="15">
        <v>45730</v>
      </c>
      <c r="B27" s="9" t="s">
        <v>123</v>
      </c>
      <c r="C27" s="10">
        <v>0</v>
      </c>
      <c r="D27" s="11">
        <v>1351.84</v>
      </c>
    </row>
    <row r="28" spans="1:4" ht="105" x14ac:dyDescent="0.25">
      <c r="A28" s="15">
        <v>45730</v>
      </c>
      <c r="B28" s="9" t="s">
        <v>124</v>
      </c>
      <c r="C28" s="10">
        <v>0</v>
      </c>
      <c r="D28" s="11">
        <v>109.9</v>
      </c>
    </row>
    <row r="29" spans="1:4" ht="90" x14ac:dyDescent="0.25">
      <c r="A29" s="15">
        <v>45730</v>
      </c>
      <c r="B29" s="9" t="s">
        <v>125</v>
      </c>
      <c r="C29" s="10">
        <v>0</v>
      </c>
      <c r="D29" s="11">
        <v>179.9</v>
      </c>
    </row>
    <row r="30" spans="1:4" ht="180" x14ac:dyDescent="0.25">
      <c r="A30" s="15">
        <v>45730</v>
      </c>
      <c r="B30" s="9" t="s">
        <v>126</v>
      </c>
      <c r="C30" s="10">
        <v>0</v>
      </c>
      <c r="D30" s="11">
        <v>196.23</v>
      </c>
    </row>
    <row r="31" spans="1:4" ht="120" x14ac:dyDescent="0.25">
      <c r="A31" s="15">
        <v>45730</v>
      </c>
      <c r="B31" s="9" t="s">
        <v>127</v>
      </c>
      <c r="C31" s="10">
        <v>0</v>
      </c>
      <c r="D31" s="11">
        <v>1300</v>
      </c>
    </row>
    <row r="32" spans="1:4" ht="105" x14ac:dyDescent="0.25">
      <c r="A32" s="15">
        <v>45730</v>
      </c>
      <c r="B32" s="9" t="s">
        <v>128</v>
      </c>
      <c r="C32" s="10">
        <v>0</v>
      </c>
      <c r="D32" s="11">
        <v>80</v>
      </c>
    </row>
    <row r="33" spans="1:4" ht="120" x14ac:dyDescent="0.25">
      <c r="A33" s="15">
        <v>45733</v>
      </c>
      <c r="B33" s="9" t="s">
        <v>129</v>
      </c>
      <c r="C33" s="10">
        <v>0</v>
      </c>
      <c r="D33" s="11">
        <v>216</v>
      </c>
    </row>
    <row r="34" spans="1:4" ht="120" x14ac:dyDescent="0.25">
      <c r="A34" s="15">
        <v>45733</v>
      </c>
      <c r="B34" s="9" t="s">
        <v>130</v>
      </c>
      <c r="C34" s="10">
        <v>0</v>
      </c>
      <c r="D34" s="11">
        <v>210.45</v>
      </c>
    </row>
    <row r="35" spans="1:4" ht="105" x14ac:dyDescent="0.25">
      <c r="A35" s="15">
        <v>45733</v>
      </c>
      <c r="B35" s="9" t="s">
        <v>131</v>
      </c>
      <c r="C35" s="10">
        <v>0</v>
      </c>
      <c r="D35" s="11">
        <v>48</v>
      </c>
    </row>
    <row r="36" spans="1:4" ht="120" x14ac:dyDescent="0.25">
      <c r="A36" s="15">
        <v>45733</v>
      </c>
      <c r="B36" s="9" t="s">
        <v>132</v>
      </c>
      <c r="C36" s="10">
        <v>0</v>
      </c>
      <c r="D36" s="11">
        <v>900</v>
      </c>
    </row>
    <row r="37" spans="1:4" ht="150" x14ac:dyDescent="0.25">
      <c r="A37" s="15">
        <v>45733</v>
      </c>
      <c r="B37" s="9" t="s">
        <v>133</v>
      </c>
      <c r="C37" s="10">
        <v>0</v>
      </c>
      <c r="D37" s="11">
        <v>500</v>
      </c>
    </row>
    <row r="38" spans="1:4" ht="75" x14ac:dyDescent="0.25">
      <c r="A38" s="15">
        <v>45735</v>
      </c>
      <c r="B38" s="9" t="s">
        <v>134</v>
      </c>
      <c r="C38" s="10">
        <v>0</v>
      </c>
      <c r="D38" s="11">
        <v>600</v>
      </c>
    </row>
    <row r="39" spans="1:4" ht="75" x14ac:dyDescent="0.25">
      <c r="A39" s="15">
        <v>45735</v>
      </c>
      <c r="B39" s="9" t="s">
        <v>135</v>
      </c>
      <c r="C39" s="10">
        <v>0</v>
      </c>
      <c r="D39" s="11">
        <v>5.94</v>
      </c>
    </row>
    <row r="40" spans="1:4" ht="75" x14ac:dyDescent="0.25">
      <c r="A40" s="15">
        <v>45737</v>
      </c>
      <c r="B40" s="9" t="s">
        <v>136</v>
      </c>
      <c r="C40" s="10">
        <v>0</v>
      </c>
      <c r="D40" s="11">
        <v>1.28</v>
      </c>
    </row>
    <row r="41" spans="1:4" ht="75" x14ac:dyDescent="0.25">
      <c r="A41" s="15">
        <v>45737</v>
      </c>
      <c r="B41" s="9" t="s">
        <v>137</v>
      </c>
      <c r="C41" s="10">
        <v>0</v>
      </c>
      <c r="D41" s="11">
        <v>130</v>
      </c>
    </row>
    <row r="42" spans="1:4" ht="90" x14ac:dyDescent="0.25">
      <c r="A42" s="15">
        <v>45738</v>
      </c>
      <c r="B42" s="9" t="s">
        <v>138</v>
      </c>
      <c r="C42" s="10">
        <v>0</v>
      </c>
      <c r="D42" s="11">
        <v>850</v>
      </c>
    </row>
    <row r="43" spans="1:4" ht="90" x14ac:dyDescent="0.25">
      <c r="A43" s="15">
        <v>45738</v>
      </c>
      <c r="B43" s="9" t="s">
        <v>139</v>
      </c>
      <c r="C43" s="10">
        <v>0</v>
      </c>
      <c r="D43" s="11">
        <v>8.41</v>
      </c>
    </row>
    <row r="44" spans="1:4" ht="60" x14ac:dyDescent="0.25">
      <c r="A44" s="15">
        <v>45740</v>
      </c>
      <c r="B44" s="9" t="s">
        <v>140</v>
      </c>
      <c r="C44" s="10">
        <v>0</v>
      </c>
      <c r="D44" s="11">
        <v>38</v>
      </c>
    </row>
    <row r="45" spans="1:4" ht="75" x14ac:dyDescent="0.25">
      <c r="A45" s="15">
        <v>45740</v>
      </c>
      <c r="B45" s="9" t="s">
        <v>141</v>
      </c>
      <c r="C45" s="10">
        <v>0</v>
      </c>
      <c r="D45" s="11">
        <v>1500</v>
      </c>
    </row>
    <row r="46" spans="1:4" ht="90" x14ac:dyDescent="0.25">
      <c r="A46" s="15">
        <v>45740</v>
      </c>
      <c r="B46" s="9" t="s">
        <v>142</v>
      </c>
      <c r="C46" s="10">
        <v>0</v>
      </c>
      <c r="D46" s="11">
        <v>10</v>
      </c>
    </row>
    <row r="47" spans="1:4" ht="75" x14ac:dyDescent="0.25">
      <c r="A47" s="15">
        <v>45740</v>
      </c>
      <c r="B47" s="9" t="s">
        <v>143</v>
      </c>
      <c r="C47" s="10">
        <v>0</v>
      </c>
      <c r="D47" s="11">
        <v>10</v>
      </c>
    </row>
    <row r="48" spans="1:4" ht="90" x14ac:dyDescent="0.25">
      <c r="A48" s="15">
        <v>45740</v>
      </c>
      <c r="B48" s="9" t="s">
        <v>144</v>
      </c>
      <c r="C48" s="10">
        <v>0</v>
      </c>
      <c r="D48" s="11">
        <v>1850</v>
      </c>
    </row>
    <row r="49" spans="1:4" ht="75" x14ac:dyDescent="0.25">
      <c r="A49" s="15">
        <v>45741</v>
      </c>
      <c r="B49" s="9" t="s">
        <v>145</v>
      </c>
      <c r="C49" s="10">
        <v>0</v>
      </c>
      <c r="D49" s="11">
        <v>174.9</v>
      </c>
    </row>
    <row r="50" spans="1:4" ht="75" x14ac:dyDescent="0.25">
      <c r="A50" s="15">
        <v>45744</v>
      </c>
      <c r="B50" s="9" t="s">
        <v>146</v>
      </c>
      <c r="C50" s="10">
        <v>0</v>
      </c>
      <c r="D50" s="11">
        <v>2380.41</v>
      </c>
    </row>
    <row r="51" spans="1:4" ht="120" x14ac:dyDescent="0.25">
      <c r="A51" s="15">
        <v>45747</v>
      </c>
      <c r="B51" s="9" t="s">
        <v>147</v>
      </c>
      <c r="C51" s="10">
        <v>0</v>
      </c>
      <c r="D51" s="11">
        <v>1107.04</v>
      </c>
    </row>
    <row r="52" spans="1:4" ht="60" x14ac:dyDescent="0.25">
      <c r="A52" s="15">
        <v>45747</v>
      </c>
      <c r="B52" s="9" t="s">
        <v>148</v>
      </c>
      <c r="C52" s="10">
        <v>0</v>
      </c>
      <c r="D52" s="11">
        <v>2121.02</v>
      </c>
    </row>
    <row r="53" spans="1:4" ht="60" x14ac:dyDescent="0.25">
      <c r="A53" s="15">
        <v>45747</v>
      </c>
      <c r="B53" s="9" t="s">
        <v>149</v>
      </c>
      <c r="C53" s="10">
        <v>0</v>
      </c>
      <c r="D53" s="11">
        <v>6506.91</v>
      </c>
    </row>
    <row r="54" spans="1:4" ht="60" x14ac:dyDescent="0.25">
      <c r="A54" s="15">
        <v>45747</v>
      </c>
      <c r="B54" s="9" t="s">
        <v>150</v>
      </c>
      <c r="C54" s="10">
        <v>0</v>
      </c>
      <c r="D54" s="11">
        <v>5198.43</v>
      </c>
    </row>
    <row r="55" spans="1:4" ht="60" x14ac:dyDescent="0.25">
      <c r="A55" s="15">
        <v>45747</v>
      </c>
      <c r="B55" s="9" t="s">
        <v>151</v>
      </c>
      <c r="C55" s="10">
        <v>0</v>
      </c>
      <c r="D55" s="11">
        <v>3107.56</v>
      </c>
    </row>
    <row r="56" spans="1:4" ht="60" x14ac:dyDescent="0.25">
      <c r="A56" s="15">
        <v>45747</v>
      </c>
      <c r="B56" s="9" t="s">
        <v>152</v>
      </c>
      <c r="C56" s="10">
        <v>0</v>
      </c>
      <c r="D56" s="11">
        <v>733</v>
      </c>
    </row>
    <row r="57" spans="1:4" ht="60" x14ac:dyDescent="0.25">
      <c r="A57" s="15">
        <v>45747</v>
      </c>
      <c r="B57" s="9" t="s">
        <v>153</v>
      </c>
      <c r="C57" s="10">
        <v>0</v>
      </c>
      <c r="D57" s="11">
        <v>3823.91</v>
      </c>
    </row>
    <row r="58" spans="1:4" ht="75" x14ac:dyDescent="0.25">
      <c r="A58" s="15">
        <v>45747</v>
      </c>
      <c r="B58" s="9" t="s">
        <v>154</v>
      </c>
      <c r="C58" s="10">
        <v>0</v>
      </c>
      <c r="D58" s="11">
        <v>1550.15</v>
      </c>
    </row>
    <row r="59" spans="1:4" ht="60" x14ac:dyDescent="0.25">
      <c r="A59" s="15">
        <v>45747</v>
      </c>
      <c r="B59" s="9" t="s">
        <v>155</v>
      </c>
      <c r="C59" s="10">
        <v>0</v>
      </c>
      <c r="D59" s="11">
        <v>1727.54</v>
      </c>
    </row>
    <row r="60" spans="1:4" ht="60" x14ac:dyDescent="0.25">
      <c r="A60" s="15">
        <v>45747</v>
      </c>
      <c r="B60" s="9" t="s">
        <v>156</v>
      </c>
      <c r="C60" s="10">
        <v>0</v>
      </c>
      <c r="D60" s="11">
        <v>2010.39</v>
      </c>
    </row>
    <row r="61" spans="1:4" ht="60" x14ac:dyDescent="0.25">
      <c r="A61" s="15">
        <v>45747</v>
      </c>
      <c r="B61" s="9" t="s">
        <v>157</v>
      </c>
      <c r="C61" s="10">
        <v>0</v>
      </c>
      <c r="D61" s="11">
        <v>842.49</v>
      </c>
    </row>
    <row r="62" spans="1:4" ht="60" x14ac:dyDescent="0.25">
      <c r="A62" s="15">
        <v>45747</v>
      </c>
      <c r="B62" s="9" t="s">
        <v>158</v>
      </c>
      <c r="C62" s="10">
        <v>0</v>
      </c>
      <c r="D62" s="11">
        <v>1009.74</v>
      </c>
    </row>
    <row r="63" spans="1:4" ht="60" x14ac:dyDescent="0.25">
      <c r="A63" s="15">
        <v>45747</v>
      </c>
      <c r="B63" s="9" t="s">
        <v>159</v>
      </c>
      <c r="C63" s="10">
        <v>0</v>
      </c>
      <c r="D63" s="11">
        <v>1783.15</v>
      </c>
    </row>
    <row r="64" spans="1:4" ht="60" x14ac:dyDescent="0.25">
      <c r="A64" s="15">
        <v>45747</v>
      </c>
      <c r="B64" s="9" t="s">
        <v>160</v>
      </c>
      <c r="C64" s="10">
        <v>0</v>
      </c>
      <c r="D64" s="11">
        <v>2273.39</v>
      </c>
    </row>
    <row r="65" spans="1:4" ht="60" x14ac:dyDescent="0.25">
      <c r="A65" s="15">
        <v>45747</v>
      </c>
      <c r="B65" s="9" t="s">
        <v>161</v>
      </c>
      <c r="C65" s="10">
        <v>0</v>
      </c>
      <c r="D65" s="11">
        <v>1404.15</v>
      </c>
    </row>
    <row r="66" spans="1:4" ht="60" x14ac:dyDescent="0.25">
      <c r="A66" s="15">
        <v>45747</v>
      </c>
      <c r="B66" s="9" t="s">
        <v>162</v>
      </c>
      <c r="C66" s="10">
        <v>0</v>
      </c>
      <c r="D66" s="11">
        <v>3742.31</v>
      </c>
    </row>
    <row r="67" spans="1:4" ht="75" x14ac:dyDescent="0.25">
      <c r="A67" s="15">
        <v>45747</v>
      </c>
      <c r="B67" s="9" t="s">
        <v>163</v>
      </c>
      <c r="C67" s="10">
        <v>0</v>
      </c>
      <c r="D67" s="11">
        <v>4479.37</v>
      </c>
    </row>
    <row r="68" spans="1:4" ht="60" x14ac:dyDescent="0.25">
      <c r="A68" s="15">
        <v>45747</v>
      </c>
      <c r="B68" s="9" t="s">
        <v>164</v>
      </c>
      <c r="C68" s="10">
        <v>0</v>
      </c>
      <c r="D68" s="11">
        <v>170.67</v>
      </c>
    </row>
    <row r="69" spans="1:4" ht="105" x14ac:dyDescent="0.25">
      <c r="A69" s="15">
        <v>45747</v>
      </c>
      <c r="B69" s="9" t="s">
        <v>165</v>
      </c>
      <c r="C69" s="10">
        <v>0</v>
      </c>
      <c r="D69" s="11">
        <v>6240</v>
      </c>
    </row>
    <row r="70" spans="1:4" ht="105" x14ac:dyDescent="0.25">
      <c r="A70" s="15">
        <v>45747</v>
      </c>
      <c r="B70" s="9" t="s">
        <v>166</v>
      </c>
      <c r="C70" s="10">
        <v>0</v>
      </c>
      <c r="D70" s="11">
        <v>4329.2299999999996</v>
      </c>
    </row>
    <row r="71" spans="1:4" ht="90" x14ac:dyDescent="0.25">
      <c r="A71" s="15">
        <v>45747</v>
      </c>
      <c r="B71" s="9" t="s">
        <v>167</v>
      </c>
      <c r="C71" s="10">
        <v>0</v>
      </c>
      <c r="D71" s="11">
        <v>114.9</v>
      </c>
    </row>
    <row r="72" spans="1:4" ht="75" x14ac:dyDescent="0.25">
      <c r="A72" s="15">
        <v>45747</v>
      </c>
      <c r="B72" s="9" t="s">
        <v>168</v>
      </c>
      <c r="C72" s="10">
        <v>0</v>
      </c>
      <c r="D72" s="11">
        <v>3000</v>
      </c>
    </row>
    <row r="73" spans="1:4" ht="60" x14ac:dyDescent="0.25">
      <c r="A73" s="15">
        <v>45747</v>
      </c>
      <c r="B73" s="9" t="s">
        <v>169</v>
      </c>
      <c r="C73" s="10">
        <v>0</v>
      </c>
      <c r="D73" s="11">
        <v>10</v>
      </c>
    </row>
    <row r="74" spans="1:4" ht="90" x14ac:dyDescent="0.25">
      <c r="A74" s="15">
        <v>45747</v>
      </c>
      <c r="B74" s="9" t="s">
        <v>170</v>
      </c>
      <c r="C74" s="10">
        <v>0</v>
      </c>
      <c r="D74" s="11">
        <v>2263</v>
      </c>
    </row>
    <row r="75" spans="1:4" ht="90" x14ac:dyDescent="0.25">
      <c r="A75" s="15">
        <v>45747</v>
      </c>
      <c r="B75" s="9" t="s">
        <v>101</v>
      </c>
      <c r="C75" s="10">
        <v>0</v>
      </c>
      <c r="D75" s="11">
        <v>2000</v>
      </c>
    </row>
    <row r="76" spans="1:4" ht="105" x14ac:dyDescent="0.25">
      <c r="A76" s="15">
        <v>45747</v>
      </c>
      <c r="B76" s="9" t="s">
        <v>171</v>
      </c>
      <c r="C76" s="10">
        <v>0</v>
      </c>
      <c r="D76" s="11">
        <v>5000</v>
      </c>
    </row>
    <row r="77" spans="1:4" ht="105" x14ac:dyDescent="0.25">
      <c r="A77" s="15">
        <v>45747</v>
      </c>
      <c r="B77" s="9" t="s">
        <v>172</v>
      </c>
      <c r="C77" s="10">
        <v>0</v>
      </c>
      <c r="D77" s="11">
        <v>6450</v>
      </c>
    </row>
    <row r="78" spans="1:4" x14ac:dyDescent="0.25">
      <c r="D78" s="14">
        <f>SUM(D1:D77)</f>
        <v>108794.51999999997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Movimento do Caixa</vt:lpstr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</dc:creator>
  <cp:lastModifiedBy>luis felipe</cp:lastModifiedBy>
  <dcterms:created xsi:type="dcterms:W3CDTF">2026-02-21T17:20:42Z</dcterms:created>
  <dcterms:modified xsi:type="dcterms:W3CDTF">2026-02-21T17:27:30Z</dcterms:modified>
</cp:coreProperties>
</file>